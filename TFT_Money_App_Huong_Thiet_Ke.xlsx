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7.xml" ContentType="application/vnd.openxmlformats-officedocument.spreadsheetml.worksheet+xml"/>
  <Override PartName="/xl/tables/table11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2.xml" ContentType="application/vnd.openxmlformats-officedocument.spreadsheetml.table+xml"/>
  <Override PartName="/xl/worksheets/sheet9.xml" ContentType="application/vnd.openxmlformats-officedocument.spreadsheetml.worksheet+xml"/>
  <Override PartName="/xl/tables/table13.xml" ContentType="application/vnd.openxmlformats-officedocument.spreadsheetml.table+xml"/>
  <Override PartName="/xl/worksheets/sheet10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fdbca887c845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Tong_quan" sheetId="1" r:id="R9c0a7732034648ff"/>
    <x:sheet xmlns:r="http://schemas.openxmlformats.org/officeDocument/2006/relationships" name="02_Cong_nghe" sheetId="2" r:id="R419049fe90774caa"/>
    <x:sheet xmlns:r="http://schemas.openxmlformats.org/officeDocument/2006/relationships" name="03_Luong" sheetId="3" r:id="R1f855345ae644f43"/>
    <x:sheet xmlns:r="http://schemas.openxmlformats.org/officeDocument/2006/relationships" name="04_Rule_Calc" sheetId="4" r:id="R83d40ce54ef0481e"/>
    <x:sheet xmlns:r="http://schemas.openxmlformats.org/officeDocument/2006/relationships" name="05_Data_model" sheetId="5" r:id="R08b6a29fbf564111"/>
    <x:sheet xmlns:r="http://schemas.openxmlformats.org/officeDocument/2006/relationships" name="06_RPC_Security" sheetId="6" r:id="Ra2f39380bd1c4b2e"/>
    <x:sheet xmlns:r="http://schemas.openxmlformats.org/officeDocument/2006/relationships" name="07_UI_Routes" sheetId="7" r:id="R68622c91912e401b"/>
    <x:sheet xmlns:r="http://schemas.openxmlformats.org/officeDocument/2006/relationships" name="08_Roadmap" sheetId="8" r:id="R40f17a3b430d4c22"/>
    <x:sheet xmlns:r="http://schemas.openxmlformats.org/officeDocument/2006/relationships" name="09_Checklist" sheetId="9" r:id="R6941d2584b5b4f42"/>
    <x:sheet xmlns:r="http://schemas.openxmlformats.org/officeDocument/2006/relationships" name="10_Risks" sheetId="10" r:id="R1e8aa84a685645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 &quot;VND&quot;"/>
  </x:numFmts>
  <x:fonts count="7">
    <x:font>
      <x:sz val="11"/>
      <x:name val="Carlito"/>
    </x:font>
    <x:font>
      <x:b/>
      <x:sz val="16"/>
      <x:color rgb="FFFFFF"/>
      <x:name val="Carlito"/>
    </x:font>
    <x:font>
      <x:sz val="11"/>
      <x:color rgb="334155"/>
      <x:name val="Carlito"/>
    </x:font>
    <x:font>
      <x:b/>
      <x:sz val="12"/>
      <x:color rgb="FFFFFF"/>
      <x:name val="Carlito"/>
    </x:font>
    <x:font>
      <x:b/>
      <x:sz val="11"/>
      <x:color rgb="065F46"/>
      <x:name val="Carlito"/>
    </x:font>
    <x:font>
      <x:b/>
      <x:sz val="11"/>
      <x:color rgb="FFFFFF"/>
      <x:name val="Carlito"/>
    </x:font>
    <x:font>
      <x:sz val="11"/>
      <x:color rgb="92400E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8FAFC"/>
      </x:patternFill>
    </x:fill>
    <x:fill>
      <x:patternFill patternType="solid">
        <x:fgColor rgb="1E293B"/>
      </x:patternFill>
    </x:fill>
    <x:fill>
      <x:patternFill patternType="solid">
        <x:fgColor rgb="ECFDF5"/>
      </x:patternFill>
    </x:fill>
    <x:fill>
      <x:patternFill patternType="solid">
        <x:fgColor rgb="0F766E"/>
      </x:patternFill>
    </x:fill>
    <x:fill>
      <x:patternFill patternType="solid">
        <x:fgColor rgb="2563EB"/>
      </x:patternFill>
    </x:fill>
    <x:fill>
      <x:patternFill patternType="solid">
        <x:fgColor rgb="B45309"/>
      </x:patternFill>
    </x:fill>
    <x:fill>
      <x:patternFill patternType="solid">
        <x:fgColor rgb="FEF3C7"/>
      </x:patternFill>
    </x:fill>
    <x:fill>
      <x:patternFill patternType="solid">
        <x:fgColor rgb="F1F5F9"/>
      </x:patternFill>
    </x:fill>
  </x:fills>
  <x:borders count="2">
    <x:border/>
    <x:border/>
  </x:borders>
  <x:cellStyleXfs count="1">
    <x:xf numFmtId="0" fontId="0" fillId="0" borderId="0"/>
  </x:cellStyleXfs>
  <x:cellXfs count="10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horizont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 applyAlignment="1">
      <x:alignment horizontal="center" vertical="top" wrapText="1"/>
    </x:xf>
    <x:xf numFmtId="0" fontId="5" fillId="7" borderId="1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horizontal="center" wrapText="1"/>
    </x:xf>
    <x:xf numFmtId="0" fontId="5" fillId="8" borderId="1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 applyAlignment="1">
      <x:alignment horizontal="center" vertical="top" wrapText="1"/>
    </x:xf>
    <x:xf numFmtId="0" fontId="5" fillId="8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/>
    <x:xf numFmtId="0" fontId="6" fillId="9" borderId="1" xfId="0" applyNumberFormat="1" applyFont="1" applyFill="1" applyBorder="1"/>
    <x:xf numFmtId="0" fontId="6" fillId="9" borderId="1" xfId="0" applyNumberFormat="1" applyFont="1" applyFill="1" applyBorder="1" applyAlignment="1">
      <x:alignment wrapText="1"/>
    </x:xf>
    <x:xf numFmtId="0" fontId="6" fillId="9" borderId="1" xfId="0" applyNumberFormat="1" applyFont="1" applyFill="1" applyBorder="1" applyAlignment="1">
      <x:alignment vertical="top" wrapText="1"/>
    </x:xf>
    <x:xf numFmtId="200" fontId="5" fillId="6" borderId="0" xfId="0" applyNumberFormat="1" applyFont="1" applyFill="1" applyBorder="1" applyAlignment="1">
      <x:alignment horizontal="center" vertical="top" wrapText="1"/>
    </x:xf>
    <x:xf numFmtId="200" fontId="5" fillId="6" borderId="1" xfId="0" applyNumberFormat="1" applyFont="1" applyFill="1" applyBorder="1" applyAlignment="1">
      <x:alignment horizontal="center" vertical="top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vertical="top" wrapText="1"/>
    </x:xf>
    <x:xf numFmtId="0" fontId="0" fillId="10" borderId="1" xfId="0" applyNumberFormat="1" applyFont="1" applyFill="1" applyBorder="1"/>
    <x:xf numFmtId="0" fontId="2" fillId="10" borderId="1" xfId="0" applyNumberFormat="1" applyFont="1" applyFill="1" applyBorder="1"/>
    <x:xf numFmtId="0" fontId="2" fillId="10" borderId="1" xfId="0" applyNumberFormat="1" applyFont="1" applyFill="1" applyBorder="1" applyAlignment="1">
      <x:alignment wrapText="1"/>
    </x:xf>
    <x:xf numFmtId="0" fontId="2" fillId="1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7">
    <x:dxf>
      <x:font>
        <x:color rgb="B91C1C"/>
      </x:font>
    </x:dxf>
    <x:dxf>
      <x:font>
        <x:color rgb="047857"/>
      </x:font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1D4ED8"/>
      </x:font>
      <x:fill>
        <x:patternFill patternType="solid">
          <x:bgColor rgb="DBEAFE"/>
        </x:patternFill>
      </x:fill>
    </x:dxf>
    <x:dxf>
      <x:font>
        <x:color rgb="475569"/>
      </x:font>
      <x:fill>
        <x:patternFill patternType="solid">
          <x:bgColor rgb="F1F5F9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cf0f95c1a14d11" /><Relationship Type="http://schemas.openxmlformats.org/officeDocument/2006/relationships/theme" Target="/xl/theme/theme1.xml" Id="Re83c67006e4d4188" /><Relationship Type="http://schemas.openxmlformats.org/officeDocument/2006/relationships/sharedStrings" Target="/xl/sharedStrings.xml" Id="R334292b84e0f4848" /><Relationship Type="http://schemas.openxmlformats.org/officeDocument/2006/relationships/worksheet" Target="/xl/worksheets/sheet1.xml" Id="R9c0a7732034648ff" /><Relationship Type="http://schemas.openxmlformats.org/officeDocument/2006/relationships/worksheet" Target="/xl/worksheets/sheet2.xml" Id="R419049fe90774caa" /><Relationship Type="http://schemas.openxmlformats.org/officeDocument/2006/relationships/worksheet" Target="/xl/worksheets/sheet3.xml" Id="R1f855345ae644f43" /><Relationship Type="http://schemas.openxmlformats.org/officeDocument/2006/relationships/worksheet" Target="/xl/worksheets/sheet4.xml" Id="R83d40ce54ef0481e" /><Relationship Type="http://schemas.openxmlformats.org/officeDocument/2006/relationships/worksheet" Target="/xl/worksheets/sheet5.xml" Id="R08b6a29fbf564111" /><Relationship Type="http://schemas.openxmlformats.org/officeDocument/2006/relationships/worksheet" Target="/xl/worksheets/sheet6.xml" Id="Ra2f39380bd1c4b2e" /><Relationship Type="http://schemas.openxmlformats.org/officeDocument/2006/relationships/worksheet" Target="/xl/worksheets/sheet7.xml" Id="R68622c91912e401b" /><Relationship Type="http://schemas.openxmlformats.org/officeDocument/2006/relationships/worksheet" Target="/xl/worksheets/sheet8.xml" Id="R40f17a3b430d4c22" /><Relationship Type="http://schemas.openxmlformats.org/officeDocument/2006/relationships/worksheet" Target="/xl/worksheets/sheet9.xml" Id="R6941d2584b5b4f42" /><Relationship Type="http://schemas.openxmlformats.org/officeDocument/2006/relationships/worksheet" Target="/xl/worksheets/sheet10.xml" Id="R1e8aa84a685645a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c40b24a44894a3b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Tasks</c:v>
          </c:tx>
          <c:cat>
            <c:strRef>
              <c:f>'08_Roadmap'!$I$5:$I$8</c:f>
              <c:strCache>
                <c:ptCount val="0"/>
              </c:strCache>
            </c:strRef>
          </c:cat>
          <c:val>
            <c:numRef>
              <c:f>'08_Roadmap'!$J$5:$J$8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9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40b24a44894a3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ummaryTable" displayName="SummaryTable" ref="A13:C18" headerRowCount="1">
  <x:tableColumns count="3">
    <x:tableColumn id="1" name="Hạng mục"/>
    <x:tableColumn id="2" name="Chốt hướng"/>
    <x:tableColumn id="3" name="Ghi chú"/>
  </x:tableColumns>
  <x:tableStyleInfo name="TableStyleMedium2" showRowStripes="1"/>
</x:table>
</file>

<file path=xl/tables/table2.xml><?xml version="1.0" encoding="utf-8"?>
<x:table xmlns:x="http://schemas.openxmlformats.org/spreadsheetml/2006/main" id="2" name="KpiTable" displayName="KpiTable" ref="E13:F18" headerRowCount="1">
  <x:tableColumns count="2">
    <x:tableColumn id="1" name="KPI thiết kế"/>
    <x:tableColumn id="2" name="Giá trị"/>
  </x:tableColumns>
  <x:tableStyleInfo name="TableStyleMedium2" showRowStripes="1"/>
</x:table>
</file>

<file path=xl/tables/table3.xml><?xml version="1.0" encoding="utf-8"?>
<x:table xmlns:x="http://schemas.openxmlformats.org/spreadsheetml/2006/main" id="3" name="TechStackTable" displayName="TechStackTable" ref="A4:E14" headerRowCount="1">
  <x:tableColumns count="5">
    <x:tableColumn id="1" name="Khu vực"/>
    <x:tableColumn id="2" name="Lựa chọn chốt"/>
    <x:tableColumn id="3" name="Lý do"/>
    <x:tableColumn id="4" name="Ghi chú triển khai"/>
    <x:tableColumn id="5" name="Thay thế khả thi"/>
  </x:tableColumns>
  <x:tableStyleInfo name="TableStyleMedium2" showRowStripes="1"/>
</x:table>
</file>

<file path=xl/tables/table4.xml><?xml version="1.0" encoding="utf-8"?>
<x:table xmlns:x="http://schemas.openxmlformats.org/spreadsheetml/2006/main" id="4" name="BusinessFlowsTable" displayName="BusinessFlowsTable" ref="A4:G14" headerRowCount="1">
  <x:tableColumns count="7">
    <x:tableColumn id="1" name="Flow"/>
    <x:tableColumn id="2" name="Trigger"/>
    <x:tableColumn id="3" name="Các bước chính"/>
    <x:tableColumn id="4" name="Validation chính"/>
    <x:tableColumn id="5" name="Dữ liệu ghi"/>
    <x:tableColumn id="6" name="Màn hình"/>
    <x:tableColumn id="7" name="Phase"/>
  </x:tableColumns>
  <x:tableStyleInfo name="TableStyleMedium2" showRowStripes="1"/>
</x:table>
</file>

<file path=xl/tables/table5.xml><?xml version="1.0" encoding="utf-8"?>
<x:table xmlns:x="http://schemas.openxmlformats.org/spreadsheetml/2006/main" id="5" name="RulesTable" displayName="RulesTable" ref="A4:F12" headerRowCount="1">
  <x:tableColumns count="6">
    <x:tableColumn id="1" name="Game"/>
    <x:tableColumn id="2" name="Số người"/>
    <x:tableColumn id="3" name="Placement"/>
    <x:tableColumn id="4" name="Base amount VND"/>
    <x:tableColumn id="5" name="Penalty"/>
    <x:tableColumn id="6" name="Ghi chú"/>
  </x:tableColumns>
  <x:tableStyleInfo name="TableStyleMedium2" showRowStripes="1"/>
</x:table>
</file>

<file path=xl/tables/table6.xml><?xml version="1.0" encoding="utf-8"?>
<x:table xmlns:x="http://schemas.openxmlformats.org/spreadsheetml/2006/main" id="6" name="TftCalculatorTable" displayName="TftCalculatorTable" ref="A23:H27" headerRowCount="1">
  <x:tableColumns count="8">
    <x:tableColumn id="1" name="Player"/>
    <x:tableColumn id="2" name="Placement"/>
    <x:tableColumn id="3" name="Penalty count"/>
    <x:tableColumn id="4" name="Base amount"/>
    <x:tableColumn id="5" name="Penalty mất"/>
    <x:tableColumn id="6" name="Bonus cho hạng 1"/>
    <x:tableColumn id="7" name="Net amount"/>
    <x:tableColumn id="8" name="Ghi chú"/>
  </x:tableColumns>
  <x:tableStyleInfo name="TableStyleMedium2" showRowStripes="1"/>
</x:table>
</file>

<file path=xl/tables/table7.xml><?xml version="1.0" encoding="utf-8"?>
<x:table xmlns:x="http://schemas.openxmlformats.org/spreadsheetml/2006/main" id="7" name="BilliardExampleTable" displayName="BilliardExampleTable" ref="A33:C36" headerRowCount="1">
  <x:tableColumns count="3">
    <x:tableColumn id="1" name="Player"/>
    <x:tableColumn id="2" name="Net amount input"/>
    <x:tableColumn id="3" name="Ghi chú"/>
  </x:tableColumns>
  <x:tableStyleInfo name="TableStyleMedium2" showRowStripes="1"/>
</x:table>
</file>

<file path=xl/tables/table8.xml><?xml version="1.0" encoding="utf-8"?>
<x:table xmlns:x="http://schemas.openxmlformats.org/spreadsheetml/2006/main" id="8" name="DataModelTable" displayName="DataModelTable" ref="A4:G45" headerRowCount="1">
  <x:tableColumns count="7">
    <x:tableColumn id="1" name="Table/View"/>
    <x:tableColumn id="2" name="Column"/>
    <x:tableColumn id="3" name="Type"/>
    <x:tableColumn id="4" name="Required"/>
    <x:tableColumn id="5" name="Ý nghĩa"/>
    <x:tableColumn id="6" name="Index/Constraint"/>
    <x:tableColumn id="7" name="Ghi chú"/>
  </x:tableColumns>
  <x:tableStyleInfo name="TableStyleMedium2" showRowStripes="1"/>
</x:table>
</file>

<file path=xl/tables/table9.xml><?xml version="1.0" encoding="utf-8"?>
<x:table xmlns:x="http://schemas.openxmlformats.org/spreadsheetml/2006/main" id="9" name="RpcTable" displayName="RpcTable" ref="A4:G9" headerRowCount="1">
  <x:tableColumns count="7">
    <x:tableColumn id="1" name="RPC"/>
    <x:tableColumn id="2" name="Mục đích"/>
    <x:tableColumn id="3" name="Input chính"/>
    <x:tableColumn id="4" name="Validation"/>
    <x:tableColumn id="5" name="Ghi dữ liệu"/>
    <x:tableColumn id="6" name="Output"/>
    <x:tableColumn id="7" name="Security note"/>
  </x:tableColumns>
  <x:tableStyleInfo name="TableStyleMedium2" showRowStripes="1"/>
</x:table>
</file>

<file path=xl/tables/table10.xml><?xml version="1.0" encoding="utf-8"?>
<x:table xmlns:x="http://schemas.openxmlformats.org/spreadsheetml/2006/main" id="10" name="SecurityPrinciplesTable" displayName="SecurityPrinciplesTable" ref="A13:B18" headerRowCount="1">
  <x:tableColumns count="2">
    <x:tableColumn id="1" name="Nguyên tắc"/>
    <x:tableColumn id="2" name="Cách làm"/>
  </x:tableColumns>
  <x:tableStyleInfo name="TableStyleMedium2" showRowStripes="1"/>
</x:table>
</file>

<file path=xl/tables/table11.xml><?xml version="1.0" encoding="utf-8"?>
<x:table xmlns:x="http://schemas.openxmlformats.org/spreadsheetml/2006/main" id="11" name="UiRoutesTable" displayName="UiRoutesTable" ref="A4:G13" headerRowCount="1">
  <x:tableColumns count="7">
    <x:tableColumn id="1" name="Route"/>
    <x:tableColumn id="2" name="Page"/>
    <x:tableColumn id="3" name="Mục đích"/>
    <x:tableColumn id="4" name="Components chính"/>
    <x:tableColumn id="5" name="Data source"/>
    <x:tableColumn id="6" name="Quyền"/>
    <x:tableColumn id="7" name="Phase"/>
  </x:tableColumns>
  <x:tableStyleInfo name="TableStyleMedium2" showRowStripes="1"/>
</x:table>
</file>

<file path=xl/tables/table12.xml><?xml version="1.0" encoding="utf-8"?>
<x:table xmlns:x="http://schemas.openxmlformats.org/spreadsheetml/2006/main" id="12" name="RoadmapTable" displayName="RoadmapTable" ref="A4:G18" headerRowCount="1">
  <x:tableColumns count="7">
    <x:tableColumn id="1" name="Phase"/>
    <x:tableColumn id="2" name="Priority"/>
    <x:tableColumn id="3" name="Task"/>
    <x:tableColumn id="4" name="Output"/>
    <x:tableColumn id="5" name="Status"/>
    <x:tableColumn id="6" name="Dependency"/>
    <x:tableColumn id="7" name="Ghi chú"/>
  </x:tableColumns>
  <x:tableStyleInfo name="TableStyleMedium2" showRowStripes="1"/>
</x:table>
</file>

<file path=xl/tables/table13.xml><?xml version="1.0" encoding="utf-8"?>
<x:table xmlns:x="http://schemas.openxmlformats.org/spreadsheetml/2006/main" id="13" name="ChecklistTable" displayName="ChecklistTable" ref="A4:F24" headerRowCount="1">
  <x:tableColumns count="6">
    <x:tableColumn id="1" name="Nhóm"/>
    <x:tableColumn id="2" name="Checklist item"/>
    <x:tableColumn id="3" name="Tiêu chí hoàn thành"/>
    <x:tableColumn id="4" name="Priority"/>
    <x:tableColumn id="5" name="Status"/>
    <x:tableColumn id="6" name="Ghi chú"/>
  </x:tableColumns>
  <x:tableStyleInfo name="TableStyleMedium2" showRowStripes="1"/>
</x:table>
</file>

<file path=xl/tables/table14.xml><?xml version="1.0" encoding="utf-8"?>
<x:table xmlns:x="http://schemas.openxmlformats.org/spreadsheetml/2006/main" id="14" name="RisksTable" displayName="RisksTable" ref="A4:E12" headerRowCount="1">
  <x:tableColumns count="5">
    <x:tableColumn id="1" name="Loại"/>
    <x:tableColumn id="2" name="Nội dung"/>
    <x:tableColumn id="3" name="Tác động"/>
    <x:tableColumn id="4" name="Cách giảm thiểu"/>
    <x:tableColumn id="5" name="Prior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87f471e88d41f1" /><Relationship Type="http://schemas.openxmlformats.org/officeDocument/2006/relationships/table" Target="/xl/tables/table2.xml" Id="Rb10e7b26dc0540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ed71c6280d9243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7ca01446cb5a42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0d7af561a758487d" /><Relationship Type="http://schemas.openxmlformats.org/officeDocument/2006/relationships/table" Target="/xl/tables/table6.xml" Id="R048c70702b144495" /><Relationship Type="http://schemas.openxmlformats.org/officeDocument/2006/relationships/table" Target="/xl/tables/table7.xml" Id="Raf9ce0731f014d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8.xml" Id="Ra6ac3eabecb24a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9.xml" Id="Re250641de50746e0" /><Relationship Type="http://schemas.openxmlformats.org/officeDocument/2006/relationships/table" Target="/xl/tables/table10.xml" Id="R41b9e16a2b054e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1.xml" Id="R5d0b78946e3149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00b9fc0d6f2a4068" /><Relationship Type="http://schemas.openxmlformats.org/officeDocument/2006/relationships/table" Target="/xl/tables/table12.xml" Id="Rb1a3426f25844db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3.xml" Id="R59e312d58fef4e0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4.xml" Id="Raadcc006f6a841db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48" hidden="0" customWidth="1"/>
    <x:col min="4" max="4" width="3" hidden="0" customWidth="1"/>
    <x:col min="5" max="5" width="22" hidden="0" customWidth="1"/>
    <x:col min="6" max="6" width="26" hidden="0" customWidth="1"/>
    <x:col min="7" max="7" width="22" hidden="0" customWidth="1"/>
    <x:col min="8" max="8" width="30" hidden="0" customWidth="1"/>
    <x:col min="9" max="9" width="3" hidden="0" customWidth="1"/>
  </x:cols>
  <x:sheetData>
    <x:row r="1" ht="30" customHeight="1">
      <x:c r="A1" s="102" t="str">
        <x:v>TFT Money App - Hướng thiết kế đã chốt</x:v>
      </x:c>
      <x:c r="B1" s="102"/>
      <x:c r="C1" s="102"/>
      <x:c r="D1" s="102"/>
      <x:c r="E1" s="102"/>
      <x:c r="F1" s="102"/>
      <x:c r="G1" s="102"/>
      <x:c r="H1" s="102"/>
      <x:c r="I1" s="102"/>
      <x:c r="J1" s="49"/>
      <x:c r="K1" s="49"/>
    </x:row>
    <x:row r="2" ht="36" customHeight="1">
      <x:c r="A2" s="13" t="str">
        <x:v>Mục tiêu: app nội bộ nhỏ, không backend riêng, frontend tính tiền, Supabase lưu dữ liệu/ledger qua RPC.</x:v>
      </x:c>
      <x:c r="B2" s="13"/>
      <x:c r="C2" s="13"/>
      <x:c r="D2" s="13"/>
      <x:c r="E2" s="13"/>
      <x:c r="F2" s="13"/>
      <x:c r="G2" s="13"/>
      <x:c r="H2" s="13"/>
      <x:c r="I2" s="13"/>
    </x:row>
    <x:row r="4">
      <x:c r="A4" s="21" t="str">
        <x:v>Quyết định kiến trúc chính</x:v>
      </x:c>
      <x:c r="B4" s="21" t="str"/>
      <x:c r="C4" s="21" t="str"/>
      <x:c r="D4" s="21" t="str"/>
      <x:c r="E4" s="21" t="str"/>
      <x:c r="F4" s="21" t="str"/>
      <x:c r="G4" s="21" t="str"/>
      <x:c r="H4" s="21" t="str"/>
      <x:c r="I4" s="21" t="str"/>
    </x:row>
    <x:row r="6">
      <x:c r="A6" s="30" t="str">
        <x:v>No backend riêng
Bỏ Fastify API riêng; FE gọi Supabase trực tiếp.</x:v>
      </x:c>
      <x:c r="B6" s="30"/>
      <x:c r="D6" s="30" t="str">
        <x:v>No rule management
Rule TFT 3/4 người hardcode ở FE.</x:v>
      </x:c>
      <x:c r="E6" s="30"/>
      <x:c r="G6" s="30" t="str">
        <x:v>Ledger source of truth
Mọi thay đổi tiền được ghi vào ledger_events + ledger_lines.</x:v>
      </x:c>
      <x:c r="H6" s="30"/>
    </x:row>
    <x:row r="7">
      <x:c r="A7" s="30"/>
      <x:c r="B7" s="30"/>
      <x:c r="D7" s="30"/>
      <x:c r="E7" s="30"/>
      <x:c r="G7" s="30"/>
      <x:c r="H7" s="30"/>
    </x:row>
    <x:row r="9">
      <x:c r="A9" s="30" t="str">
        <x:v>RPC cho write
Tạo trận/void/auth key đi qua Postgres RPC để có transaction và validate.</x:v>
      </x:c>
      <x:c r="B9" s="30"/>
    </x:row>
    <x:row r="10">
      <x:c r="A10" s="30"/>
      <x:c r="B10" s="30"/>
    </x:row>
    <x:row r="13">
      <x:c r="A13" s="48" t="str">
        <x:v>Hạng mục</x:v>
      </x:c>
      <x:c r="B13" s="48" t="str">
        <x:v>Chốt hướng</x:v>
      </x:c>
      <x:c r="C13" s="48" t="str">
        <x:v>Ghi chú</x:v>
      </x:c>
      <x:c r="E13" s="62" t="str">
        <x:v>KPI thiết kế</x:v>
      </x:c>
      <x:c r="F13" s="62" t="str">
        <x:v>Giá trị</x:v>
      </x:c>
    </x:row>
    <x:row r="14">
      <x:c r="A14" s="49" t="str">
        <x:v>Kiến trúc</x:v>
      </x:c>
      <x:c r="B14" s="49" t="str">
        <x:v>React/Vite SPA + Supabase Postgres/RPC</x:v>
      </x:c>
      <x:c r="C14" s="49" t="str">
        <x:v>Không deploy backend Node riêng.</x:v>
      </x:c>
      <x:c r="E14" s="49" t="str">
        <x:v>Phase đầu</x:v>
      </x:c>
      <x:c r="F14" s="49" t="str">
        <x:v>Core match tracking</x:v>
      </x:c>
    </x:row>
    <x:row r="15">
      <x:c r="A15" s="49" t="str">
        <x:v>Rule TFT</x:v>
      </x:c>
      <x:c r="B15" s="49" t="str">
        <x:v>Hardcode tại FE</x:v>
      </x:c>
      <x:c r="C15" s="49" t="str">
        <x:v>3 người và 4 người; penalty top2/top8.</x:v>
      </x:c>
      <x:c r="E15" s="49" t="str">
        <x:v>Game hỗ trợ ngay</x:v>
      </x:c>
      <x:c r="F15" s="49" t="str">
        <x:v>TFT, Billiard</x:v>
      </x:c>
    </x:row>
    <x:row r="16">
      <x:c r="A16" s="49" t="str">
        <x:v>Billiard</x:v>
      </x:c>
      <x:c r="B16" s="49" t="str">
        <x:v>Nhập tiền thủ công</x:v>
      </x:c>
      <x:c r="C16" s="49" t="str">
        <x:v>Không cần placement; validate tổng net = 0.</x:v>
      </x:c>
      <x:c r="E16" s="49" t="str">
        <x:v>Số bảng core</x:v>
      </x:c>
      <x:c r="F16" s="49" t="n">
        <x:v>7</x:v>
      </x:c>
    </x:row>
    <x:row r="17">
      <x:c r="A17" s="49" t="str">
        <x:v>Auth</x:v>
      </x:c>
      <x:c r="B17" s="49" t="str">
        <x:v>Admin key đơn giản</x:v>
      </x:c>
      <x:c r="C17" s="49" t="str">
        <x:v>Nên check qua RPC, không để FE đọc raw key.</x:v>
      </x:c>
      <x:c r="E17" s="49" t="str">
        <x:v>Số RPC core</x:v>
      </x:c>
      <x:c r="F17" s="49" t="n">
        <x:v>3</x:v>
      </x:c>
    </x:row>
    <x:row r="18">
      <x:c r="A18" s="49" t="str">
        <x:v>Quỹ nhóm</x:v>
      </x:c>
      <x:c r="B18" s="49" t="str">
        <x:v>Để mở rộng sau</x:v>
      </x:c>
      <x:c r="C18" s="49" t="str">
        <x:v>Thiết kế ledger không chặn việc mở rộng.</x:v>
      </x:c>
      <x:c r="E18" s="49" t="str">
        <x:v>Routes UI đề xuất</x:v>
      </x:c>
      <x:c r="F18" s="49" t="n">
        <x:v>7</x:v>
      </x:c>
    </x:row>
  </x:sheetData>
  <x:mergeCells>
    <x:mergeCell ref="A1:I1"/>
    <x:mergeCell ref="A2:I2"/>
    <x:mergeCell ref="A4:I4"/>
    <x:mergeCell ref="A6:B7"/>
    <x:mergeCell ref="D6:E7"/>
    <x:mergeCell ref="G6:H7"/>
    <x:mergeCell ref="A9:B10"/>
  </x:mergeCells>
  <x:pageMargins left="0.7" right="0.7" top="0.75" bottom="0.75" header="0.3" footer="0.3"/>
  <x:tableParts count="2">
    <x:tablePart xmlns:r="http://schemas.openxmlformats.org/officeDocument/2006/relationships" r:id="Rab87f471e88d41f1"/>
    <x:tablePart xmlns:r="http://schemas.openxmlformats.org/officeDocument/2006/relationships" r:id="Rb10e7b26dc05401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8" hidden="0" customWidth="1"/>
    <x:col min="4" max="4" width="42" hidden="0" customWidth="1"/>
    <x:col min="5" max="5" width="28" hidden="0" customWidth="1"/>
  </x:cols>
  <x:sheetData>
    <x:row r="1" ht="30" customHeight="1">
      <x:c r="A1" s="102" t="str">
        <x:v>Công nghệ đề xuất</x:v>
      </x:c>
      <x:c r="B1" s="102"/>
      <x:c r="C1" s="102"/>
      <x:c r="D1" s="102"/>
      <x:c r="E1" s="102"/>
      <x:c r="F1" s="102"/>
      <x:c r="G1" s="102"/>
      <x:c r="H1" s="49"/>
      <x:c r="I1" s="49"/>
      <x:c r="J1" s="49"/>
      <x:c r="K1" s="49"/>
    </x:row>
    <x:row r="2" ht="36" customHeight="1">
      <x:c r="A2" s="13" t="str">
        <x:v>Stack tối giản, ưu tiên free tier, deploy ổn định qua GitHub.</x:v>
      </x:c>
      <x:c r="B2" s="13"/>
      <x:c r="C2" s="13"/>
      <x:c r="D2" s="13"/>
      <x:c r="E2" s="13"/>
      <x:c r="F2" s="13"/>
      <x:c r="G2" s="13"/>
    </x:row>
    <x:row r="4">
      <x:c r="A4" s="48" t="str">
        <x:v>Khu vực</x:v>
      </x:c>
      <x:c r="B4" s="48" t="str">
        <x:v>Lựa chọn chốt</x:v>
      </x:c>
      <x:c r="C4" s="48" t="str">
        <x:v>Lý do</x:v>
      </x:c>
      <x:c r="D4" s="48" t="str">
        <x:v>Ghi chú triển khai</x:v>
      </x:c>
      <x:c r="E4" s="48" t="str">
        <x:v>Thay thế khả thi</x:v>
      </x:c>
    </x:row>
    <x:row r="5">
      <x:c r="A5" s="49" t="str">
        <x:v>Frontend</x:v>
      </x:c>
      <x:c r="B5" s="49" t="str">
        <x:v>Vite + React + TypeScript</x:v>
      </x:c>
      <x:c r="C5" s="49" t="str">
        <x:v>Nhanh, nhẹ, phù hợp SPA nội bộ</x:v>
      </x:c>
      <x:c r="D5" s="49" t="str">
        <x:v>Tạo app mới thay vì migrate toàn bộ repo cũ</x:v>
      </x:c>
      <x:c r="E5" s="49" t="str">
        <x:v>Next.js static, Remix</x:v>
      </x:c>
    </x:row>
    <x:row r="6">
      <x:c r="A6" s="49" t="str">
        <x:v>UI kit</x:v>
      </x:c>
      <x:c r="B6" s="49" t="str">
        <x:v>shadcn/ui + Tailwind CSS</x:v>
      </x:c>
      <x:c r="C6" s="49" t="str">
        <x:v>Giao diện gọn, component phổ biến, dễ custom</x:v>
      </x:c>
      <x:c r="D6" s="49" t="str">
        <x:v>Nếu muốn form/table nhanh hơn có thể chọn Mantine</x:v>
      </x:c>
      <x:c r="E6" s="49" t="str">
        <x:v>Mantine, Ant Design</x:v>
      </x:c>
    </x:row>
    <x:row r="7">
      <x:c r="A7" s="49" t="str">
        <x:v>Server state</x:v>
      </x:c>
      <x:c r="B7" s="49" t="str">
        <x:v>TanStack Query</x:v>
      </x:c>
      <x:c r="C7" s="49" t="str">
        <x:v>Cache, invalidate, loading/error state tốt</x:v>
      </x:c>
      <x:c r="D7" s="49" t="str">
        <x:v>Dùng query keys rõ theo feature</x:v>
      </x:c>
      <x:c r="E7" s="49" t="str">
        <x:v>SWR</x:v>
      </x:c>
    </x:row>
    <x:row r="8">
      <x:c r="A8" s="49" t="str">
        <x:v>Form</x:v>
      </x:c>
      <x:c r="B8" s="49" t="str">
        <x:v>react-hook-form + Zod</x:v>
      </x:c>
      <x:c r="C8" s="49" t="str">
        <x:v>Validate input tốt, code ít</x:v>
      </x:c>
      <x:c r="D8" s="49" t="str">
        <x:v>Dùng schema riêng cho TFT/Billiard</x:v>
      </x:c>
      <x:c r="E8" s="49" t="str">
        <x:v>Formik</x:v>
      </x:c>
    </x:row>
    <x:row r="9">
      <x:c r="A9" s="49" t="str">
        <x:v>Database</x:v>
      </x:c>
      <x:c r="B9" s="49" t="str">
        <x:v>Supabase Postgres</x:v>
      </x:c>
      <x:c r="C9" s="49" t="str">
        <x:v>Có SQL, view, RPC, transaction</x:v>
      </x:c>
      <x:c r="D9" s="49" t="str">
        <x:v>Frontend đọc views, write qua RPC</x:v>
      </x:c>
      <x:c r="E9" s="49" t="str">
        <x:v>Neon + custom API</x:v>
      </x:c>
    </x:row>
    <x:row r="10">
      <x:c r="A10" s="49" t="str">
        <x:v>Backend-lite</x:v>
      </x:c>
      <x:c r="B10" s="49" t="str">
        <x:v>Postgres functions/RPC</x:v>
      </x:c>
      <x:c r="C10" s="49" t="str">
        <x:v>Không cần server riêng nhưng vẫn có transaction</x:v>
      </x:c>
      <x:c r="D10" s="49" t="str">
        <x:v>create_match, void_match, check_admin_key</x:v>
      </x:c>
      <x:c r="E10" s="49" t="str">
        <x:v>Supabase Edge Functions</x:v>
      </x:c>
    </x:row>
    <x:row r="11">
      <x:c r="A11" s="49" t="str">
        <x:v>Auth</x:v>
      </x:c>
      <x:c r="B11" s="49" t="str">
        <x:v>Admin key qua configuration + app_sessions</x:v>
      </x:c>
      <x:c r="C11" s="49" t="str">
        <x:v>Đơn giản cho team nhỏ</x:v>
      </x:c>
      <x:c r="D11" s="49" t="str">
        <x:v>Không cho FE đọc raw key; hash và check trong RPC</x:v>
      </x:c>
      <x:c r="E11" s="49" t="str">
        <x:v>Supabase Auth email</x:v>
      </x:c>
    </x:row>
    <x:row r="12">
      <x:c r="A12" s="49" t="str">
        <x:v>Deploy</x:v>
      </x:c>
      <x:c r="B12" s="49" t="str">
        <x:v>Cloudflare Pages hoặc Vercel Static</x:v>
      </x:c>
      <x:c r="C12" s="49" t="str">
        <x:v>Free, auto deploy từ GitHub</x:v>
      </x:c>
      <x:c r="D12" s="49" t="str">
        <x:v>SPA static build</x:v>
      </x:c>
      <x:c r="E12" s="49" t="str">
        <x:v>Netlify</x:v>
      </x:c>
    </x:row>
    <x:row r="13">
      <x:c r="A13" s="49" t="str">
        <x:v>Migration</x:v>
      </x:c>
      <x:c r="B13" s="49" t="str">
        <x:v>Supabase CLI SQL migrations</x:v>
      </x:c>
      <x:c r="C13" s="49" t="str">
        <x:v>Quản lý schema rõ ràng</x:v>
      </x:c>
      <x:c r="D13" s="49" t="str">
        <x:v>Commit migrations vào repo</x:v>
      </x:c>
      <x:c r="E13" s="49" t="str">
        <x:v>Manual SQL editor</x:v>
      </x:c>
    </x:row>
    <x:row r="14">
      <x:c r="A14" s="49" t="str">
        <x:v>Testing</x:v>
      </x:c>
      <x:c r="B14" s="49" t="str">
        <x:v>Vitest + React Testing Library</x:v>
      </x:c>
      <x:c r="C14" s="49" t="str">
        <x:v>Test calculator và form validation</x:v>
      </x:c>
      <x:c r="D14" s="49" t="str">
        <x:v>Bắt buộc test tftCalculator</x:v>
      </x:c>
      <x:c r="E14" s="49" t="str">
        <x:v>Playwright cho E2E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d71c6280d9243b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54" hidden="0" customWidth="1"/>
    <x:col min="4" max="4" width="42" hidden="0" customWidth="1"/>
    <x:col min="5" max="5" width="42" hidden="0" customWidth="1"/>
    <x:col min="6" max="6" width="18" hidden="0" customWidth="1"/>
    <x:col min="7" max="7" width="12" hidden="0" customWidth="1"/>
  </x:cols>
  <x:sheetData>
    <x:row r="1" ht="30" customHeight="1">
      <x:c r="A1" s="102" t="str">
        <x:v>Luồng nghiệp vụ</x:v>
      </x:c>
      <x:c r="B1" s="102"/>
      <x:c r="C1" s="102"/>
      <x:c r="D1" s="102"/>
      <x:c r="E1" s="102"/>
      <x:c r="F1" s="102"/>
      <x:c r="G1" s="102"/>
      <x:c r="H1" s="102"/>
      <x:c r="I1" s="49"/>
      <x:c r="J1" s="49"/>
      <x:c r="K1" s="49"/>
    </x:row>
    <x:row r="2" ht="36" customHeight="1">
      <x:c r="A2" s="13" t="str">
        <x:v>Các flow chính sau khi bỏ Rules Management và để Group Fund cho phase sau.</x:v>
      </x:c>
      <x:c r="B2" s="13"/>
      <x:c r="C2" s="13"/>
      <x:c r="D2" s="13"/>
      <x:c r="E2" s="13"/>
      <x:c r="F2" s="13"/>
      <x:c r="G2" s="13"/>
      <x:c r="H2" s="13"/>
    </x:row>
    <x:row r="4">
      <x:c r="A4" s="48" t="str">
        <x:v>Flow</x:v>
      </x:c>
      <x:c r="B4" s="48" t="str">
        <x:v>Trigger</x:v>
      </x:c>
      <x:c r="C4" s="48" t="str">
        <x:v>Các bước chính</x:v>
      </x:c>
      <x:c r="D4" s="48" t="str">
        <x:v>Validation chính</x:v>
      </x:c>
      <x:c r="E4" s="48" t="str">
        <x:v>Dữ liệu ghi</x:v>
      </x:c>
      <x:c r="F4" s="48" t="str">
        <x:v>Màn hình</x:v>
      </x:c>
      <x:c r="G4" s="48" t="str">
        <x:v>Phase</x:v>
      </x:c>
    </x:row>
    <x:row r="5">
      <x:c r="A5" s="49" t="str">
        <x:v>Login Admin</x:v>
      </x:c>
      <x:c r="B5" s="49" t="str">
        <x:v>User nhập access key</x:v>
      </x:c>
      <x:c r="C5" s="49" t="str">
        <x:v>FE gọi RPC check_admin_key; nếu đúng lưu session_token localStorage</x:v>
      </x:c>
      <x:c r="D5" s="49" t="str">
        <x:v>Key đúng; session chưa hết hạn</x:v>
      </x:c>
      <x:c r="E5" s="49" t="str">
        <x:v>app_sessions</x:v>
      </x:c>
      <x:c r="F5" s="49" t="str">
        <x:v>/login</x:v>
      </x:c>
      <x:c r="G5" s="49" t="str">
        <x:v>Phase 1</x:v>
      </x:c>
    </x:row>
    <x:row r="6">
      <x:c r="A6" s="49" t="str">
        <x:v>Players CRUD</x:v>
      </x:c>
      <x:c r="B6" s="49" t="str">
        <x:v>Admin quản lý người chơi</x:v>
      </x:c>
      <x:c r="C6" s="49" t="str">
        <x:v>Tạo/sửa/ẩn player; chỉ active players được chọn khi tạo trận</x:v>
      </x:c>
      <x:c r="D6" s="49" t="str">
        <x:v>display_name bắt buộc; slug unique nếu có</x:v>
      </x:c>
      <x:c r="E6" s="49" t="str">
        <x:v>players</x:v>
      </x:c>
      <x:c r="F6" s="49" t="str">
        <x:v>/players</x:v>
      </x:c>
      <x:c r="G6" s="49" t="str">
        <x:v>Phase 1</x:v>
      </x:c>
    </x:row>
    <x:row r="7">
      <x:c r="A7" s="49" t="str">
        <x:v>Tạo trận TFT</x:v>
      </x:c>
      <x:c r="B7" s="49" t="str">
        <x:v>Admin chọn game TFT</x:v>
      </x:c>
      <x:c r="C7" s="49" t="str">
        <x:v>Chọn 3/4 players; nhập placement; tick penalty; FE preview; confirm</x:v>
      </x:c>
      <x:c r="D7" s="49" t="str">
        <x:v>Không trùng player/placement; tổng net=0; count 3/4</x:v>
      </x:c>
      <x:c r="E7" s="49" t="str">
        <x:v>matches, match_participants, ledger_events, ledger_lines</x:v>
      </x:c>
      <x:c r="F7" s="49" t="str">
        <x:v>/matches/new</x:v>
      </x:c>
      <x:c r="G7" s="49" t="str">
        <x:v>Phase 1</x:v>
      </x:c>
    </x:row>
    <x:row r="8">
      <x:c r="A8" s="49" t="str">
        <x:v>Tạo trận Billiard</x:v>
      </x:c>
      <x:c r="B8" s="49" t="str">
        <x:v>Admin chọn game Billiard</x:v>
      </x:c>
      <x:c r="C8" s="49" t="str">
        <x:v>Chọn players; nhập tiền từng người; preview; confirm</x:v>
      </x:c>
      <x:c r="D8" s="49" t="str">
        <x:v>Tối thiểu 2 players; tổng net=0</x:v>
      </x:c>
      <x:c r="E8" s="49" t="str">
        <x:v>matches, match_participants, ledger_events, ledger_lines</x:v>
      </x:c>
      <x:c r="F8" s="49" t="str">
        <x:v>/matches/new</x:v>
      </x:c>
      <x:c r="G8" s="49" t="str">
        <x:v>Phase 1</x:v>
      </x:c>
    </x:row>
    <x:row r="9">
      <x:c r="A9" s="49" t="str">
        <x:v>Match history</x:v>
      </x:c>
      <x:c r="B9" s="49" t="str">
        <x:v>User mở danh sách trận</x:v>
      </x:c>
      <x:c r="C9" s="49" t="str">
        <x:v>Đọc view history; filter theo game/date/player</x:v>
      </x:c>
      <x:c r="D9" s="49" t="str">
        <x:v>Không áp dụng</x:v>
      </x:c>
      <x:c r="E9" s="49" t="str">
        <x:v>Read-only view</x:v>
      </x:c>
      <x:c r="F9" s="49" t="str">
        <x:v>/matches</x:v>
      </x:c>
      <x:c r="G9" s="49" t="str">
        <x:v>Phase 1</x:v>
      </x:c>
    </x:row>
    <x:row r="10">
      <x:c r="A10" s="49" t="str">
        <x:v>Match detail</x:v>
      </x:c>
      <x:c r="B10" s="49" t="str">
        <x:v>User click một trận</x:v>
      </x:c>
      <x:c r="C10" s="49" t="str">
        <x:v>Hiển thị participants, net, metadata rule/input, status</x:v>
      </x:c>
      <x:c r="D10" s="49" t="str">
        <x:v>match_id hợp lệ</x:v>
      </x:c>
      <x:c r="E10" s="49" t="str">
        <x:v>Read-only</x:v>
      </x:c>
      <x:c r="F10" s="49" t="str">
        <x:v>/matches/:id</x:v>
      </x:c>
      <x:c r="G10" s="49" t="str">
        <x:v>Phase 1</x:v>
      </x:c>
    </x:row>
    <x:row r="11">
      <x:c r="A11" s="49" t="str">
        <x:v>Void match</x:v>
      </x:c>
      <x:c r="B11" s="49" t="str">
        <x:v>Admin nhập reason</x:v>
      </x:c>
      <x:c r="C11" s="49" t="str">
        <x:v>RPC void_match mark VOIDED và tạo reversal ledger</x:v>
      </x:c>
      <x:c r="D11" s="49" t="str">
        <x:v>Session admin; match ACTIVE; reason bắt buộc</x:v>
      </x:c>
      <x:c r="E11" s="49" t="str">
        <x:v>matches, ledger_events, ledger_lines</x:v>
      </x:c>
      <x:c r="F11" s="49" t="str">
        <x:v>/matches/:id</x:v>
      </x:c>
      <x:c r="G11" s="49" t="str">
        <x:v>Phase 1</x:v>
      </x:c>
    </x:row>
    <x:row r="12">
      <x:c r="A12" s="49" t="str">
        <x:v>Dashboard</x:v>
      </x:c>
      <x:c r="B12" s="49" t="str">
        <x:v>User mở dashboard</x:v>
      </x:c>
      <x:c r="C12" s="49" t="str">
        <x:v>Đọc summary/balances/stats từ views</x:v>
      </x:c>
      <x:c r="D12" s="49" t="str">
        <x:v>Không áp dụng</x:v>
      </x:c>
      <x:c r="E12" s="49" t="str">
        <x:v>Read-only views</x:v>
      </x:c>
      <x:c r="F12" s="49" t="str">
        <x:v>/dashboard</x:v>
      </x:c>
      <x:c r="G12" s="49" t="str">
        <x:v>Phase 1</x:v>
      </x:c>
    </x:row>
    <x:row r="13">
      <x:c r="A13" s="49" t="str">
        <x:v>Settlement</x:v>
      </x:c>
      <x:c r="B13" s="49" t="str">
        <x:v>Admin ghi nhận trả tiền ngoài đời</x:v>
      </x:c>
      <x:c r="C13" s="49" t="str">
        <x:v>A trả B số tiền X; ledger event SETTLEMENT</x:v>
      </x:c>
      <x:c r="D13" s="49" t="str">
        <x:v>Tổng ledger lines=0</x:v>
      </x:c>
      <x:c r="E13" s="49" t="str">
        <x:v>ledger_events, ledger_lines</x:v>
      </x:c>
      <x:c r="F13" s="49" t="str">
        <x:v>TBD</x:v>
      </x:c>
      <x:c r="G13" s="49" t="str">
        <x:v>Phase 2</x:v>
      </x:c>
    </x:row>
    <x:row r="14">
      <x:c r="A14" s="49" t="str">
        <x:v>Group Fund</x:v>
      </x:c>
      <x:c r="B14" s="49" t="str">
        <x:v>Quỹ nhóm</x:v>
      </x:c>
      <x:c r="C14" s="49" t="str">
        <x:v>Đóng quỹ, ứng quỹ, rút quỹ, adjustment</x:v>
      </x:c>
      <x:c r="D14" s="49" t="str">
        <x:v>Số tiền &gt;0; session admin</x:v>
      </x:c>
      <x:c r="E14" s="49" t="str">
        <x:v>future fund tables/ledger</x:v>
      </x:c>
      <x:c r="F14" s="49" t="str">
        <x:v>TBD</x:v>
      </x:c>
      <x:c r="G14" s="49" t="str">
        <x:v>Phase 3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ca01446cb5a42d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34" hidden="0" customWidth="1"/>
    <x:col min="9" max="9" width="3" hidden="0" customWidth="1"/>
  </x:cols>
  <x:sheetData>
    <x:row r="1" ht="30" customHeight="1">
      <x:c r="A1" s="102" t="str">
        <x:v>Rule mặc định &amp; calculator</x:v>
      </x:c>
      <x:c r="B1" s="102"/>
      <x:c r="C1" s="102"/>
      <x:c r="D1" s="102"/>
      <x:c r="E1" s="102"/>
      <x:c r="F1" s="102"/>
      <x:c r="G1" s="102"/>
      <x:c r="H1" s="102"/>
      <x:c r="I1" s="102"/>
      <x:c r="J1" s="49"/>
      <x:c r="K1" s="49"/>
    </x:row>
    <x:row r="2" ht="36" customHeight="1">
      <x:c r="A2" s="13" t="str">
        <x:v>FE tính preview, Supabase chỉ lưu net_amount từng người và metadata.</x:v>
      </x:c>
      <x:c r="B2" s="13"/>
      <x:c r="C2" s="13"/>
      <x:c r="D2" s="13"/>
      <x:c r="E2" s="13"/>
      <x:c r="F2" s="13"/>
      <x:c r="G2" s="13"/>
      <x:c r="H2" s="13"/>
      <x:c r="I2" s="13"/>
    </x:row>
    <x:row r="4">
      <x:c r="A4" s="74" t="str">
        <x:v>Game</x:v>
      </x:c>
      <x:c r="B4" s="74" t="str">
        <x:v>Số người</x:v>
      </x:c>
      <x:c r="C4" s="74" t="str">
        <x:v>Placement</x:v>
      </x:c>
      <x:c r="D4" s="74" t="str">
        <x:v>Base amount VND</x:v>
      </x:c>
      <x:c r="E4" s="74" t="str">
        <x:v>Penalty</x:v>
      </x:c>
      <x:c r="F4" s="74" t="str">
        <x:v>Ghi chú</x:v>
      </x:c>
    </x:row>
    <x:row r="5">
      <x:c r="A5" s="49" t="str">
        <x:v>TFT</x:v>
      </x:c>
      <x:c r="B5" s="49" t="n">
        <x:v>3</x:v>
      </x:c>
      <x:c r="C5" s="49" t="str">
        <x:v>Hạng 1</x:v>
      </x:c>
      <x:c r="D5" s="76" t="n">
        <x:v>100000</x:v>
      </x:c>
      <x:c r="E5" s="49" t="str">
        <x:v>Top2/Top8: -10k cho người bị penalty, +10k cho hạng 1</x:v>
      </x:c>
      <x:c r="F5" s="49" t="str">
        <x:v>Tổng base = 0</x:v>
      </x:c>
    </x:row>
    <x:row r="6">
      <x:c r="A6" s="49" t="str">
        <x:v>TFT</x:v>
      </x:c>
      <x:c r="B6" s="49" t="n">
        <x:v>3</x:v>
      </x:c>
      <x:c r="C6" s="49" t="str">
        <x:v>Hạng 2</x:v>
      </x:c>
      <x:c r="D6" s="76" t="n">
        <x:v>-50000</x:v>
      </x:c>
      <x:c r="E6" s="49" t="str">
        <x:v>Như trên</x:v>
      </x:c>
      <x:c r="F6" s="49" t="str"/>
    </x:row>
    <x:row r="7">
      <x:c r="A7" s="49" t="str">
        <x:v>TFT</x:v>
      </x:c>
      <x:c r="B7" s="49" t="n">
        <x:v>3</x:v>
      </x:c>
      <x:c r="C7" s="49" t="str">
        <x:v>Hạng 3</x:v>
      </x:c>
      <x:c r="D7" s="76" t="n">
        <x:v>-50000</x:v>
      </x:c>
      <x:c r="E7" s="49" t="str">
        <x:v>Như trên</x:v>
      </x:c>
      <x:c r="F7" s="49" t="str"/>
    </x:row>
    <x:row r="8">
      <x:c r="A8" s="49" t="str">
        <x:v>TFT</x:v>
      </x:c>
      <x:c r="B8" s="49" t="n">
        <x:v>4</x:v>
      </x:c>
      <x:c r="C8" s="49" t="str">
        <x:v>Hạng 1</x:v>
      </x:c>
      <x:c r="D8" s="76" t="n">
        <x:v>70000</x:v>
      </x:c>
      <x:c r="E8" s="49" t="str">
        <x:v>Top2/Top8: -10k cho người bị penalty, +10k cho hạng 1</x:v>
      </x:c>
      <x:c r="F8" s="49" t="str">
        <x:v>Tổng base = 0</x:v>
      </x:c>
    </x:row>
    <x:row r="9">
      <x:c r="A9" s="49" t="str">
        <x:v>TFT</x:v>
      </x:c>
      <x:c r="B9" s="49" t="n">
        <x:v>4</x:v>
      </x:c>
      <x:c r="C9" s="49" t="str">
        <x:v>Hạng 2</x:v>
      </x:c>
      <x:c r="D9" s="76" t="n">
        <x:v>30000</x:v>
      </x:c>
      <x:c r="E9" s="49" t="str">
        <x:v>Như trên</x:v>
      </x:c>
      <x:c r="F9" s="49" t="str"/>
    </x:row>
    <x:row r="10">
      <x:c r="A10" s="49" t="str">
        <x:v>TFT</x:v>
      </x:c>
      <x:c r="B10" s="49" t="n">
        <x:v>4</x:v>
      </x:c>
      <x:c r="C10" s="49" t="str">
        <x:v>Hạng 3</x:v>
      </x:c>
      <x:c r="D10" s="76" t="n">
        <x:v>-50000</x:v>
      </x:c>
      <x:c r="E10" s="49" t="str">
        <x:v>Như trên</x:v>
      </x:c>
      <x:c r="F10" s="49" t="str"/>
    </x:row>
    <x:row r="11">
      <x:c r="A11" s="49" t="str">
        <x:v>TFT</x:v>
      </x:c>
      <x:c r="B11" s="49" t="n">
        <x:v>4</x:v>
      </x:c>
      <x:c r="C11" s="49" t="str">
        <x:v>Hạng 4</x:v>
      </x:c>
      <x:c r="D11" s="76" t="n">
        <x:v>-50000</x:v>
      </x:c>
      <x:c r="E11" s="49" t="str">
        <x:v>Như trên</x:v>
      </x:c>
      <x:c r="F11" s="49" t="str"/>
    </x:row>
    <x:row r="12">
      <x:c r="A12" s="49" t="str">
        <x:v>Billiard</x:v>
      </x:c>
      <x:c r="B12" s="49" t="str">
        <x:v>N người</x:v>
      </x:c>
      <x:c r="C12" s="49" t="str">
        <x:v>Không dùng</x:v>
      </x:c>
      <x:c r="D12" s="76" t="str">
        <x:v>Manual input</x:v>
      </x:c>
      <x:c r="E12" s="49" t="str">
        <x:v>Không dùng</x:v>
      </x:c>
      <x:c r="F12" s="49" t="str">
        <x:v>FE validate tổng net = 0</x:v>
      </x:c>
    </x:row>
    <x:row r="15">
      <x:c r="A15" s="21" t="str">
        <x:v>Ví dụ calculator TFT trong Excel</x:v>
      </x:c>
      <x:c r="B15" s="21" t="str"/>
      <x:c r="C15" s="21" t="str"/>
      <x:c r="D15" s="21" t="str"/>
      <x:c r="E15" s="21" t="str"/>
      <x:c r="F15" s="21" t="str"/>
      <x:c r="G15" s="21" t="str"/>
      <x:c r="H15" s="21" t="str"/>
      <x:c r="I15" s="21" t="str"/>
    </x:row>
    <x:row r="17">
      <x:c r="A17" s="56" t="str">
        <x:v>Participant count</x:v>
      </x:c>
      <x:c r="B17" t="n">
        <x:v>4</x:v>
      </x:c>
    </x:row>
    <x:row r="18">
      <x:c r="A18" s="56" t="str">
        <x:v>Penalty amount</x:v>
      </x:c>
      <x:c r="B18" s="78" t="n">
        <x:v>10000</x:v>
      </x:c>
    </x:row>
    <x:row r="19">
      <x:c r="A19" s="56" t="str">
        <x:v>Tổng net</x:v>
      </x:c>
      <x:c r="B19" s="78" t="n">
        <x:f>SUM(G24:G27)</x:f>
        <x:v>0</x:v>
      </x:c>
    </x:row>
    <x:row r="20">
      <x:c r="A20" s="56" t="str">
        <x:v>Trạng thái</x:v>
      </x:c>
      <x:c r="B20" s="83" t="str">
        <x:f>IF(B19=0,"OK - tổng bằng 0","Lỗi - tổng khác 0")</x:f>
        <x:v>OK - tổng bằng 0</x:v>
      </x:c>
    </x:row>
    <x:row r="23">
      <x:c r="A23" s="48" t="str">
        <x:v>Player</x:v>
      </x:c>
      <x:c r="B23" s="48" t="str">
        <x:v>Placement</x:v>
      </x:c>
      <x:c r="C23" s="48" t="str">
        <x:v>Penalty count</x:v>
      </x:c>
      <x:c r="D23" s="48" t="str">
        <x:v>Base amount</x:v>
      </x:c>
      <x:c r="E23" s="48" t="str">
        <x:v>Penalty mất</x:v>
      </x:c>
      <x:c r="F23" s="48" t="str">
        <x:v>Bonus cho hạng 1</x:v>
      </x:c>
      <x:c r="G23" s="48" t="str">
        <x:v>Net amount</x:v>
      </x:c>
      <x:c r="H23" s="48" t="str">
        <x:v>Ghi chú</x:v>
      </x:c>
    </x:row>
    <x:row r="24">
      <x:c r="A24" s="49" t="str">
        <x:v>A</x:v>
      </x:c>
      <x:c r="B24" s="49" t="n">
        <x:v>1</x:v>
      </x:c>
      <x:c r="C24" s="49" t="n">
        <x:v>0</x:v>
      </x:c>
      <x:c r="D24" s="76" t="n">
        <x:f>IF($B$17=3,IF(B24=1,100000,IF(OR(B24=2,B24=3),-50000,0)),IF(B24=1,70000,IF(B24=2,30000,IF(OR(B24=3,B24=4),-50000,0))))</x:f>
        <x:v>70000</x:v>
      </x:c>
      <x:c r="E24" s="76" t="n">
        <x:f>-C24*$B$18</x:f>
        <x:v>0</x:v>
      </x:c>
      <x:c r="F24" s="76" t="n">
        <x:f>IF(B24=1,SUM($C$24:$C$27)*$B$18,0)</x:f>
        <x:v>10000</x:v>
      </x:c>
      <x:c r="G24" s="76" t="n">
        <x:f>D24+E24+F24</x:f>
        <x:v>80000</x:v>
      </x:c>
      <x:c r="H24" s="49" t="str">
        <x:v>Winner</x:v>
      </x:c>
    </x:row>
    <x:row r="25">
      <x:c r="A25" s="49" t="str">
        <x:v>B</x:v>
      </x:c>
      <x:c r="B25" s="49" t="n">
        <x:v>2</x:v>
      </x:c>
      <x:c r="C25" s="49" t="n">
        <x:v>0</x:v>
      </x:c>
      <x:c r="D25" s="76" t="n">
        <x:f>IF($B$17=3,IF(B25=1,100000,IF(OR(B25=2,B25=3),-50000,0)),IF(B25=1,70000,IF(B25=2,30000,IF(OR(B25=3,B25=4),-50000,0))))</x:f>
        <x:v>30000</x:v>
      </x:c>
      <x:c r="E25" s="76" t="n">
        <x:f>-C25*$B$18</x:f>
        <x:v>0</x:v>
      </x:c>
      <x:c r="F25" s="76" t="n">
        <x:f>IF(B25=1,SUM($C$24:$C$27)*$B$18,0)</x:f>
        <x:v>0</x:v>
      </x:c>
      <x:c r="G25" s="76" t="n">
        <x:f>D25+E25+F25</x:f>
        <x:v>30000</x:v>
      </x:c>
      <x:c r="H25" s="49" t="str"/>
    </x:row>
    <x:row r="26">
      <x:c r="A26" s="49" t="str">
        <x:v>C</x:v>
      </x:c>
      <x:c r="B26" s="49" t="n">
        <x:v>3</x:v>
      </x:c>
      <x:c r="C26" s="49" t="n">
        <x:v>1</x:v>
      </x:c>
      <x:c r="D26" s="76" t="n">
        <x:f>IF($B$17=3,IF(B26=1,100000,IF(OR(B26=2,B26=3),-50000,0)),IF(B26=1,70000,IF(B26=2,30000,IF(OR(B26=3,B26=4),-50000,0))))</x:f>
        <x:v>-50000</x:v>
      </x:c>
      <x:c r="E26" s="76" t="n">
        <x:f>-C26*$B$18</x:f>
        <x:v>-10000</x:v>
      </x:c>
      <x:c r="F26" s="76" t="n">
        <x:f>IF(B26=1,SUM($C$24:$C$27)*$B$18,0)</x:f>
        <x:v>0</x:v>
      </x:c>
      <x:c r="G26" s="76" t="n">
        <x:f>D26+E26+F26</x:f>
        <x:v>-60000</x:v>
      </x:c>
      <x:c r="H26" s="49" t="str">
        <x:v>Top8 penalty</x:v>
      </x:c>
    </x:row>
    <x:row r="27">
      <x:c r="A27" s="49" t="str">
        <x:v>D</x:v>
      </x:c>
      <x:c r="B27" s="49" t="n">
        <x:v>4</x:v>
      </x:c>
      <x:c r="C27" s="49" t="n">
        <x:v>0</x:v>
      </x:c>
      <x:c r="D27" s="76" t="n">
        <x:f>IF($B$17=3,IF(B27=1,100000,IF(OR(B27=2,B27=3),-50000,0)),IF(B27=1,70000,IF(B27=2,30000,IF(OR(B27=3,B27=4),-50000,0))))</x:f>
        <x:v>-50000</x:v>
      </x:c>
      <x:c r="E27" s="76" t="n">
        <x:f>-C27*$B$18</x:f>
        <x:v>0</x:v>
      </x:c>
      <x:c r="F27" s="76" t="n">
        <x:f>IF(B27=1,SUM($C$24:$C$27)*$B$18,0)</x:f>
        <x:v>0</x:v>
      </x:c>
      <x:c r="G27" s="76" t="n">
        <x:f>D27+E27+F27</x:f>
        <x:v>-50000</x:v>
      </x:c>
      <x:c r="H27" s="49" t="str"/>
    </x:row>
    <x:row r="31">
      <x:c r="A31" s="21" t="str">
        <x:v>Ví dụ Billiard manual input</x:v>
      </x:c>
      <x:c r="B31" s="21" t="str"/>
      <x:c r="C31" s="21" t="str"/>
      <x:c r="D31" s="21" t="str"/>
      <x:c r="E31" s="21" t="str"/>
      <x:c r="F31" s="21" t="str"/>
      <x:c r="G31" s="21" t="str"/>
      <x:c r="H31" s="21" t="str"/>
      <x:c r="I31" s="21" t="str"/>
    </x:row>
    <x:row r="33">
      <x:c r="A33" s="48" t="str">
        <x:v>Player</x:v>
      </x:c>
      <x:c r="B33" s="88" t="str">
        <x:v>Net amount input</x:v>
      </x:c>
      <x:c r="C33" s="48" t="str">
        <x:v>Ghi chú</x:v>
      </x:c>
    </x:row>
    <x:row r="34">
      <x:c r="A34" s="49" t="str">
        <x:v>A</x:v>
      </x:c>
      <x:c r="B34" s="76" t="n">
        <x:v>100000</x:v>
      </x:c>
      <x:c r="C34" s="49" t="str">
        <x:v>Thắng</x:v>
      </x:c>
    </x:row>
    <x:row r="35">
      <x:c r="A35" s="49" t="str">
        <x:v>B</x:v>
      </x:c>
      <x:c r="B35" s="76" t="n">
        <x:f>SUM(B33:B34)</x:f>
        <x:v>100000</x:v>
      </x:c>
      <x:c r="C35" s="49" t="str">
        <x:v>Thua</x:v>
      </x:c>
    </x:row>
    <x:row r="36">
      <x:c r="A36" s="49" t="str">
        <x:v>Tổng</x:v>
      </x:c>
      <x:c r="B36" s="49"/>
      <x:c r="C36" s="49" t="str">
        <x:v>Phải bằng 0</x:v>
      </x:c>
    </x:row>
  </x:sheetData>
  <x:mergeCells>
    <x:mergeCell ref="A1:I1"/>
    <x:mergeCell ref="A2:I2"/>
    <x:mergeCell ref="A15:I15"/>
    <x:mergeCell ref="A31:I31"/>
  </x:mergeCells>
  <x:conditionalFormatting sqref="G24:G27">
    <x:cfRule type="cellIs" dxfId="0" priority="1" operator="lessThan">
      <x:formula>0</x:formula>
    </x:cfRule>
    <x:cfRule type="cellIs" dxfId="1" priority="2" operator="greaterThan">
      <x:formula>0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0d7af561a758487d"/>
    <x:tablePart xmlns:r="http://schemas.openxmlformats.org/officeDocument/2006/relationships" r:id="R048c70702b144495"/>
    <x:tablePart xmlns:r="http://schemas.openxmlformats.org/officeDocument/2006/relationships" r:id="Raf9ce0731f014d5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18" hidden="0" customWidth="1"/>
    <x:col min="4" max="4" width="12" hidden="0" customWidth="1"/>
    <x:col min="5" max="5" width="42" hidden="0" customWidth="1"/>
    <x:col min="6" max="6" width="24" hidden="0" customWidth="1"/>
    <x:col min="7" max="7" width="42" hidden="0" customWidth="1"/>
  </x:cols>
  <x:sheetData>
    <x:row r="1" ht="30" customHeight="1">
      <x:c r="A1" s="102" t="str">
        <x:v>Data model đề xuất</x:v>
      </x:c>
      <x:c r="B1" s="102"/>
      <x:c r="C1" s="102"/>
      <x:c r="D1" s="102"/>
      <x:c r="E1" s="102"/>
      <x:c r="F1" s="102"/>
      <x:c r="G1" s="102"/>
      <x:c r="H1" s="102"/>
      <x:c r="I1" s="49"/>
      <x:c r="J1" s="49"/>
      <x:c r="K1" s="49"/>
    </x:row>
    <x:row r="2" ht="36" customHeight="1">
      <x:c r="A2" s="13" t="str">
        <x:v>Schema tối giản để lưu match, participant, ledger và mở rộng quỹ sau.</x:v>
      </x:c>
      <x:c r="B2" s="13"/>
      <x:c r="C2" s="13"/>
      <x:c r="D2" s="13"/>
      <x:c r="E2" s="13"/>
      <x:c r="F2" s="13"/>
      <x:c r="G2" s="13"/>
      <x:c r="H2" s="13"/>
    </x:row>
    <x:row r="4">
      <x:c r="A4" s="48" t="str">
        <x:v>Table/View</x:v>
      </x:c>
      <x:c r="B4" s="48" t="str">
        <x:v>Column</x:v>
      </x:c>
      <x:c r="C4" s="48" t="str">
        <x:v>Type</x:v>
      </x:c>
      <x:c r="D4" s="48" t="str">
        <x:v>Required</x:v>
      </x:c>
      <x:c r="E4" s="48" t="str">
        <x:v>Ý nghĩa</x:v>
      </x:c>
      <x:c r="F4" s="48" t="str">
        <x:v>Index/Constraint</x:v>
      </x:c>
      <x:c r="G4" s="48" t="str">
        <x:v>Ghi chú</x:v>
      </x:c>
    </x:row>
    <x:row r="5">
      <x:c r="A5" s="49" t="str">
        <x:v>configuration</x:v>
      </x:c>
      <x:c r="B5" s="49" t="str">
        <x:v>key</x:v>
      </x:c>
      <x:c r="C5" s="49" t="str">
        <x:v>text</x:v>
      </x:c>
      <x:c r="D5" s="49" t="str">
        <x:v>Yes</x:v>
      </x:c>
      <x:c r="E5" s="49" t="str">
        <x:v>Tên cấu hình</x:v>
      </x:c>
      <x:c r="F5" s="49" t="str">
        <x:v>primary key</x:v>
      </x:c>
      <x:c r="G5" s="49" t="str">
        <x:v>VD: admin_key_hash, app_name</x:v>
      </x:c>
    </x:row>
    <x:row r="6">
      <x:c r="A6" s="49" t="str">
        <x:v>configuration</x:v>
      </x:c>
      <x:c r="B6" s="49" t="str">
        <x:v>value</x:v>
      </x:c>
      <x:c r="C6" s="49" t="str">
        <x:v>jsonb</x:v>
      </x:c>
      <x:c r="D6" s="49" t="str">
        <x:v>Yes</x:v>
      </x:c>
      <x:c r="E6" s="49" t="str">
        <x:v>Giá trị cấu hình</x:v>
      </x:c>
      <x:c r="F6" s="49" t="str"/>
      <x:c r="G6" s="49" t="str">
        <x:v>Không expose raw admin key cho FE</x:v>
      </x:c>
    </x:row>
    <x:row r="7">
      <x:c r="A7" s="49" t="str">
        <x:v>configuration</x:v>
      </x:c>
      <x:c r="B7" s="49" t="str">
        <x:v>updated_at</x:v>
      </x:c>
      <x:c r="C7" s="49" t="str">
        <x:v>timestamptz</x:v>
      </x:c>
      <x:c r="D7" s="49" t="str">
        <x:v>Yes</x:v>
      </x:c>
      <x:c r="E7" s="49" t="str">
        <x:v>Thời điểm cập nhật</x:v>
      </x:c>
      <x:c r="F7" s="49" t="str"/>
      <x:c r="G7" s="49" t="str"/>
    </x:row>
    <x:row r="8">
      <x:c r="A8" s="49" t="str">
        <x:v>app_sessions</x:v>
      </x:c>
      <x:c r="B8" s="49" t="str">
        <x:v>id</x:v>
      </x:c>
      <x:c r="C8" s="49" t="str">
        <x:v>uuid</x:v>
      </x:c>
      <x:c r="D8" s="49" t="str">
        <x:v>Yes</x:v>
      </x:c>
      <x:c r="E8" s="49" t="str">
        <x:v>Session id</x:v>
      </x:c>
      <x:c r="F8" s="49" t="str">
        <x:v>primary key</x:v>
      </x:c>
      <x:c r="G8" s="49" t="str">
        <x:v>Tạo bởi RPC check_admin_key</x:v>
      </x:c>
    </x:row>
    <x:row r="9">
      <x:c r="A9" s="49" t="str">
        <x:v>app_sessions</x:v>
      </x:c>
      <x:c r="B9" s="49" t="str">
        <x:v>token_hash</x:v>
      </x:c>
      <x:c r="C9" s="49" t="str">
        <x:v>text</x:v>
      </x:c>
      <x:c r="D9" s="49" t="str">
        <x:v>Yes</x:v>
      </x:c>
      <x:c r="E9" s="49" t="str">
        <x:v>Hash của session token</x:v>
      </x:c>
      <x:c r="F9" s="49" t="str">
        <x:v>index</x:v>
      </x:c>
      <x:c r="G9" s="49" t="str">
        <x:v>FE giữ raw token; DB lưu hash</x:v>
      </x:c>
    </x:row>
    <x:row r="10">
      <x:c r="A10" s="49" t="str">
        <x:v>app_sessions</x:v>
      </x:c>
      <x:c r="B10" s="49" t="str">
        <x:v>role</x:v>
      </x:c>
      <x:c r="C10" s="49" t="str">
        <x:v>text</x:v>
      </x:c>
      <x:c r="D10" s="49" t="str">
        <x:v>Yes</x:v>
      </x:c>
      <x:c r="E10" s="49" t="str">
        <x:v>ADMIN</x:v>
      </x:c>
      <x:c r="F10" s="49" t="str"/>
      <x:c r="G10" s="49" t="str">
        <x:v>Có thể mở rộng MEMBER sau</x:v>
      </x:c>
    </x:row>
    <x:row r="11">
      <x:c r="A11" s="49" t="str">
        <x:v>app_sessions</x:v>
      </x:c>
      <x:c r="B11" s="49" t="str">
        <x:v>expires_at</x:v>
      </x:c>
      <x:c r="C11" s="49" t="str">
        <x:v>timestamptz</x:v>
      </x:c>
      <x:c r="D11" s="49" t="str">
        <x:v>Yes</x:v>
      </x:c>
      <x:c r="E11" s="49" t="str">
        <x:v>Hết hạn session</x:v>
      </x:c>
      <x:c r="F11" s="49" t="str">
        <x:v>index</x:v>
      </x:c>
      <x:c r="G11" s="49" t="str">
        <x:v>RPC validate trước write</x:v>
      </x:c>
    </x:row>
    <x:row r="12">
      <x:c r="A12" s="49" t="str">
        <x:v>players</x:v>
      </x:c>
      <x:c r="B12" s="49" t="str">
        <x:v>id</x:v>
      </x:c>
      <x:c r="C12" s="49" t="str">
        <x:v>uuid</x:v>
      </x:c>
      <x:c r="D12" s="49" t="str">
        <x:v>Yes</x:v>
      </x:c>
      <x:c r="E12" s="49" t="str">
        <x:v>Player id</x:v>
      </x:c>
      <x:c r="F12" s="49" t="str">
        <x:v>primary key</x:v>
      </x:c>
      <x:c r="G12" s="49" t="str"/>
    </x:row>
    <x:row r="13">
      <x:c r="A13" s="49" t="str">
        <x:v>players</x:v>
      </x:c>
      <x:c r="B13" s="49" t="str">
        <x:v>display_name</x:v>
      </x:c>
      <x:c r="C13" s="49" t="str">
        <x:v>text</x:v>
      </x:c>
      <x:c r="D13" s="49" t="str">
        <x:v>Yes</x:v>
      </x:c>
      <x:c r="E13" s="49" t="str">
        <x:v>Tên hiển thị</x:v>
      </x:c>
      <x:c r="F13" s="49" t="str"/>
      <x:c r="G13" s="49" t="str"/>
    </x:row>
    <x:row r="14">
      <x:c r="A14" s="49" t="str">
        <x:v>players</x:v>
      </x:c>
      <x:c r="B14" s="49" t="str">
        <x:v>slug</x:v>
      </x:c>
      <x:c r="C14" s="49" t="str">
        <x:v>text</x:v>
      </x:c>
      <x:c r="D14" s="49" t="str">
        <x:v>No</x:v>
      </x:c>
      <x:c r="E14" s="49" t="str">
        <x:v>Định danh ngắn</x:v>
      </x:c>
      <x:c r="F14" s="49" t="str">
        <x:v>unique nullable</x:v>
      </x:c>
      <x:c r="G14" s="49" t="str"/>
    </x:row>
    <x:row r="15">
      <x:c r="A15" s="49" t="str">
        <x:v>players</x:v>
      </x:c>
      <x:c r="B15" s="49" t="str">
        <x:v>avatar_url</x:v>
      </x:c>
      <x:c r="C15" s="49" t="str">
        <x:v>text</x:v>
      </x:c>
      <x:c r="D15" s="49" t="str">
        <x:v>No</x:v>
      </x:c>
      <x:c r="E15" s="49" t="str">
        <x:v>Ảnh đại diện</x:v>
      </x:c>
      <x:c r="F15" s="49" t="str"/>
      <x:c r="G15" s="49" t="str"/>
    </x:row>
    <x:row r="16">
      <x:c r="A16" s="49" t="str">
        <x:v>players</x:v>
      </x:c>
      <x:c r="B16" s="49" t="str">
        <x:v>is_active</x:v>
      </x:c>
      <x:c r="C16" s="49" t="str">
        <x:v>boolean</x:v>
      </x:c>
      <x:c r="D16" s="49" t="str">
        <x:v>Yes</x:v>
      </x:c>
      <x:c r="E16" s="49" t="str">
        <x:v>Còn chơi hay không</x:v>
      </x:c>
      <x:c r="F16" s="49" t="str">
        <x:v>index</x:v>
      </x:c>
      <x:c r="G16" s="49" t="str">
        <x:v>Không xóa cứng player</x:v>
      </x:c>
    </x:row>
    <x:row r="17">
      <x:c r="A17" s="49" t="str">
        <x:v>matches</x:v>
      </x:c>
      <x:c r="B17" s="49" t="str">
        <x:v>id</x:v>
      </x:c>
      <x:c r="C17" s="49" t="str">
        <x:v>uuid</x:v>
      </x:c>
      <x:c r="D17" s="49" t="str">
        <x:v>Yes</x:v>
      </x:c>
      <x:c r="E17" s="49" t="str">
        <x:v>Match id</x:v>
      </x:c>
      <x:c r="F17" s="49" t="str">
        <x:v>primary key</x:v>
      </x:c>
      <x:c r="G17" s="49" t="str"/>
    </x:row>
    <x:row r="18">
      <x:c r="A18" s="49" t="str">
        <x:v>matches</x:v>
      </x:c>
      <x:c r="B18" s="49" t="str">
        <x:v>game_type</x:v>
      </x:c>
      <x:c r="C18" s="49" t="str">
        <x:v>text</x:v>
      </x:c>
      <x:c r="D18" s="49" t="str">
        <x:v>Yes</x:v>
      </x:c>
      <x:c r="E18" s="49" t="str">
        <x:v>TFT/BILLIARD</x:v>
      </x:c>
      <x:c r="F18" s="49" t="str">
        <x:v>index</x:v>
      </x:c>
      <x:c r="G18" s="49" t="str">
        <x:v>Không cần module/rule_id</x:v>
      </x:c>
    </x:row>
    <x:row r="19">
      <x:c r="A19" s="49" t="str">
        <x:v>matches</x:v>
      </x:c>
      <x:c r="B19" s="49" t="str">
        <x:v>status</x:v>
      </x:c>
      <x:c r="C19" s="49" t="str">
        <x:v>text</x:v>
      </x:c>
      <x:c r="D19" s="49" t="str">
        <x:v>Yes</x:v>
      </x:c>
      <x:c r="E19" s="49" t="str">
        <x:v>ACTIVE/VOIDED</x:v>
      </x:c>
      <x:c r="F19" s="49" t="str">
        <x:v>index</x:v>
      </x:c>
      <x:c r="G19" s="49" t="str"/>
    </x:row>
    <x:row r="20">
      <x:c r="A20" s="49" t="str">
        <x:v>matches</x:v>
      </x:c>
      <x:c r="B20" s="49" t="str">
        <x:v>note</x:v>
      </x:c>
      <x:c r="C20" s="49" t="str">
        <x:v>text</x:v>
      </x:c>
      <x:c r="D20" s="49" t="str">
        <x:v>No</x:v>
      </x:c>
      <x:c r="E20" s="49" t="str">
        <x:v>Ghi chú trận</x:v>
      </x:c>
      <x:c r="F20" s="49" t="str"/>
      <x:c r="G20" s="49" t="str"/>
    </x:row>
    <x:row r="21">
      <x:c r="A21" s="49" t="str">
        <x:v>matches</x:v>
      </x:c>
      <x:c r="B21" s="49" t="str">
        <x:v>played_at</x:v>
      </x:c>
      <x:c r="C21" s="49" t="str">
        <x:v>timestamptz</x:v>
      </x:c>
      <x:c r="D21" s="49" t="str">
        <x:v>Yes</x:v>
      </x:c>
      <x:c r="E21" s="49" t="str">
        <x:v>Thời điểm chơi</x:v>
      </x:c>
      <x:c r="F21" s="49" t="str">
        <x:v>index</x:v>
      </x:c>
      <x:c r="G21" s="49" t="str"/>
    </x:row>
    <x:row r="22">
      <x:c r="A22" s="49" t="str">
        <x:v>matches</x:v>
      </x:c>
      <x:c r="B22" s="49" t="str">
        <x:v>metadata</x:v>
      </x:c>
      <x:c r="C22" s="49" t="str">
        <x:v>jsonb</x:v>
      </x:c>
      <x:c r="D22" s="49" t="str">
        <x:v>No</x:v>
      </x:c>
      <x:c r="E22" s="49" t="str">
        <x:v>Rule/input snapshot</x:v>
      </x:c>
      <x:c r="F22" s="49" t="str"/>
      <x:c r="G22" s="49" t="str">
        <x:v>VD: participant_count, rule_code</x:v>
      </x:c>
    </x:row>
    <x:row r="23">
      <x:c r="A23" s="49" t="str">
        <x:v>matches</x:v>
      </x:c>
      <x:c r="B23" s="49" t="str">
        <x:v>created_by_session_id</x:v>
      </x:c>
      <x:c r="C23" s="49" t="str">
        <x:v>uuid</x:v>
      </x:c>
      <x:c r="D23" s="49" t="str">
        <x:v>No</x:v>
      </x:c>
      <x:c r="E23" s="49" t="str">
        <x:v>Session tạo</x:v>
      </x:c>
      <x:c r="F23" s="49" t="str">
        <x:v>fk app_sessions</x:v>
      </x:c>
      <x:c r="G23" s="49" t="str"/>
    </x:row>
    <x:row r="24">
      <x:c r="A24" s="49" t="str">
        <x:v>matches</x:v>
      </x:c>
      <x:c r="B24" s="49" t="str">
        <x:v>voided_at</x:v>
      </x:c>
      <x:c r="C24" s="49" t="str">
        <x:v>timestamptz</x:v>
      </x:c>
      <x:c r="D24" s="49" t="str">
        <x:v>No</x:v>
      </x:c>
      <x:c r="E24" s="49" t="str">
        <x:v>Thời điểm void</x:v>
      </x:c>
      <x:c r="F24" s="49" t="str"/>
      <x:c r="G24" s="49" t="str"/>
    </x:row>
    <x:row r="25">
      <x:c r="A25" s="49" t="str">
        <x:v>matches</x:v>
      </x:c>
      <x:c r="B25" s="49" t="str">
        <x:v>void_reason</x:v>
      </x:c>
      <x:c r="C25" s="49" t="str">
        <x:v>text</x:v>
      </x:c>
      <x:c r="D25" s="49" t="str">
        <x:v>No</x:v>
      </x:c>
      <x:c r="E25" s="49" t="str">
        <x:v>Lý do void</x:v>
      </x:c>
      <x:c r="F25" s="49" t="str"/>
      <x:c r="G25" s="49" t="str"/>
    </x:row>
    <x:row r="26">
      <x:c r="A26" s="49" t="str">
        <x:v>match_participants</x:v>
      </x:c>
      <x:c r="B26" s="49" t="str">
        <x:v>id</x:v>
      </x:c>
      <x:c r="C26" s="49" t="str">
        <x:v>uuid</x:v>
      </x:c>
      <x:c r="D26" s="49" t="str">
        <x:v>Yes</x:v>
      </x:c>
      <x:c r="E26" s="49" t="str">
        <x:v>Participant row id</x:v>
      </x:c>
      <x:c r="F26" s="49" t="str">
        <x:v>primary key</x:v>
      </x:c>
      <x:c r="G26" s="49" t="str"/>
    </x:row>
    <x:row r="27">
      <x:c r="A27" s="49" t="str">
        <x:v>match_participants</x:v>
      </x:c>
      <x:c r="B27" s="49" t="str">
        <x:v>match_id</x:v>
      </x:c>
      <x:c r="C27" s="49" t="str">
        <x:v>uuid</x:v>
      </x:c>
      <x:c r="D27" s="49" t="str">
        <x:v>Yes</x:v>
      </x:c>
      <x:c r="E27" s="49" t="str">
        <x:v>Match liên quan</x:v>
      </x:c>
      <x:c r="F27" s="49" t="str">
        <x:v>fk matches; index</x:v>
      </x:c>
      <x:c r="G27" s="49" t="str"/>
    </x:row>
    <x:row r="28">
      <x:c r="A28" s="49" t="str">
        <x:v>match_participants</x:v>
      </x:c>
      <x:c r="B28" s="49" t="str">
        <x:v>player_id</x:v>
      </x:c>
      <x:c r="C28" s="49" t="str">
        <x:v>uuid</x:v>
      </x:c>
      <x:c r="D28" s="49" t="str">
        <x:v>Yes</x:v>
      </x:c>
      <x:c r="E28" s="49" t="str">
        <x:v>Player</x:v>
      </x:c>
      <x:c r="F28" s="49" t="str">
        <x:v>fk players; index</x:v>
      </x:c>
      <x:c r="G28" s="49" t="str"/>
    </x:row>
    <x:row r="29">
      <x:c r="A29" s="49" t="str">
        <x:v>match_participants</x:v>
      </x:c>
      <x:c r="B29" s="49" t="str">
        <x:v>placement</x:v>
      </x:c>
      <x:c r="C29" s="49" t="str">
        <x:v>int</x:v>
      </x:c>
      <x:c r="D29" s="49" t="str">
        <x:v>No</x:v>
      </x:c>
      <x:c r="E29" s="49" t="str">
        <x:v>Hạng TFT</x:v>
      </x:c>
      <x:c r="F29" s="49" t="str"/>
      <x:c r="G29" s="49" t="str">
        <x:v>Null với Billiard</x:v>
      </x:c>
    </x:row>
    <x:row r="30">
      <x:c r="A30" s="49" t="str">
        <x:v>match_participants</x:v>
      </x:c>
      <x:c r="B30" s="49" t="str">
        <x:v>net_amount</x:v>
      </x:c>
      <x:c r="C30" s="49" t="str">
        <x:v>integer</x:v>
      </x:c>
      <x:c r="D30" s="49" t="str">
        <x:v>Yes</x:v>
      </x:c>
      <x:c r="E30" s="49" t="str">
        <x:v>Số tiền được/mất</x:v>
      </x:c>
      <x:c r="F30" s="49" t="str"/>
      <x:c r="G30" s="49" t="str">
        <x:v>&gt;0 được nhận, &lt;0 mất</x:v>
      </x:c>
    </x:row>
    <x:row r="31">
      <x:c r="A31" s="49" t="str">
        <x:v>match_participants</x:v>
      </x:c>
      <x:c r="B31" s="49" t="str">
        <x:v>metadata</x:v>
      </x:c>
      <x:c r="C31" s="49" t="str">
        <x:v>jsonb</x:v>
      </x:c>
      <x:c r="D31" s="49" t="str">
        <x:v>No</x:v>
      </x:c>
      <x:c r="E31" s="49" t="str">
        <x:v>Penalty/manual input</x:v>
      </x:c>
      <x:c r="F31" s="49" t="str"/>
      <x:c r="G31" s="49" t="str"/>
    </x:row>
    <x:row r="32">
      <x:c r="A32" s="49" t="str">
        <x:v>ledger_events</x:v>
      </x:c>
      <x:c r="B32" s="49" t="str">
        <x:v>id</x:v>
      </x:c>
      <x:c r="C32" s="49" t="str">
        <x:v>uuid</x:v>
      </x:c>
      <x:c r="D32" s="49" t="str">
        <x:v>Yes</x:v>
      </x:c>
      <x:c r="E32" s="49" t="str">
        <x:v>Ledger event id</x:v>
      </x:c>
      <x:c r="F32" s="49" t="str">
        <x:v>primary key</x:v>
      </x:c>
      <x:c r="G32" s="49" t="str"/>
    </x:row>
    <x:row r="33">
      <x:c r="A33" s="49" t="str">
        <x:v>ledger_events</x:v>
      </x:c>
      <x:c r="B33" s="49" t="str">
        <x:v>event_type</x:v>
      </x:c>
      <x:c r="C33" s="49" t="str">
        <x:v>text</x:v>
      </x:c>
      <x:c r="D33" s="49" t="str">
        <x:v>Yes</x:v>
      </x:c>
      <x:c r="E33" s="49" t="str">
        <x:v>MATCH/VOID/SETTLEMENT/FUTURE_FUND_EVENT</x:v>
      </x:c>
      <x:c r="F33" s="49" t="str">
        <x:v>index</x:v>
      </x:c>
      <x:c r="G33" s="49" t="str"/>
    </x:row>
    <x:row r="34">
      <x:c r="A34" s="49" t="str">
        <x:v>ledger_events</x:v>
      </x:c>
      <x:c r="B34" s="49" t="str">
        <x:v>match_id</x:v>
      </x:c>
      <x:c r="C34" s="49" t="str">
        <x:v>uuid</x:v>
      </x:c>
      <x:c r="D34" s="49" t="str">
        <x:v>No</x:v>
      </x:c>
      <x:c r="E34" s="49" t="str">
        <x:v>Match ref</x:v>
      </x:c>
      <x:c r="F34" s="49" t="str">
        <x:v>fk matches</x:v>
      </x:c>
      <x:c r="G34" s="49" t="str">
        <x:v>Null với settlement/fund</x:v>
      </x:c>
    </x:row>
    <x:row r="35">
      <x:c r="A35" s="49" t="str">
        <x:v>ledger_events</x:v>
      </x:c>
      <x:c r="B35" s="49" t="str">
        <x:v>note</x:v>
      </x:c>
      <x:c r="C35" s="49" t="str">
        <x:v>text</x:v>
      </x:c>
      <x:c r="D35" s="49" t="str">
        <x:v>No</x:v>
      </x:c>
      <x:c r="E35" s="49" t="str">
        <x:v>Ghi chú</x:v>
      </x:c>
      <x:c r="F35" s="49" t="str"/>
      <x:c r="G35" s="49" t="str"/>
    </x:row>
    <x:row r="36">
      <x:c r="A36" s="49" t="str">
        <x:v>ledger_events</x:v>
      </x:c>
      <x:c r="B36" s="49" t="str">
        <x:v>occurred_at</x:v>
      </x:c>
      <x:c r="C36" s="49" t="str">
        <x:v>timestamptz</x:v>
      </x:c>
      <x:c r="D36" s="49" t="str">
        <x:v>Yes</x:v>
      </x:c>
      <x:c r="E36" s="49" t="str">
        <x:v>Thời điểm nghiệp vụ</x:v>
      </x:c>
      <x:c r="F36" s="49" t="str">
        <x:v>index</x:v>
      </x:c>
      <x:c r="G36" s="49" t="str"/>
    </x:row>
    <x:row r="37">
      <x:c r="A37" s="49" t="str">
        <x:v>ledger_lines</x:v>
      </x:c>
      <x:c r="B37" s="49" t="str">
        <x:v>id</x:v>
      </x:c>
      <x:c r="C37" s="49" t="str">
        <x:v>uuid</x:v>
      </x:c>
      <x:c r="D37" s="49" t="str">
        <x:v>Yes</x:v>
      </x:c>
      <x:c r="E37" s="49" t="str">
        <x:v>Ledger line id</x:v>
      </x:c>
      <x:c r="F37" s="49" t="str">
        <x:v>primary key</x:v>
      </x:c>
      <x:c r="G37" s="49" t="str"/>
    </x:row>
    <x:row r="38">
      <x:c r="A38" s="49" t="str">
        <x:v>ledger_lines</x:v>
      </x:c>
      <x:c r="B38" s="49" t="str">
        <x:v>event_id</x:v>
      </x:c>
      <x:c r="C38" s="49" t="str">
        <x:v>uuid</x:v>
      </x:c>
      <x:c r="D38" s="49" t="str">
        <x:v>Yes</x:v>
      </x:c>
      <x:c r="E38" s="49" t="str">
        <x:v>Event cha</x:v>
      </x:c>
      <x:c r="F38" s="49" t="str">
        <x:v>fk ledger_events; index</x:v>
      </x:c>
      <x:c r="G38" s="49" t="str"/>
    </x:row>
    <x:row r="39">
      <x:c r="A39" s="49" t="str">
        <x:v>ledger_lines</x:v>
      </x:c>
      <x:c r="B39" s="49" t="str">
        <x:v>player_id</x:v>
      </x:c>
      <x:c r="C39" s="49" t="str">
        <x:v>uuid</x:v>
      </x:c>
      <x:c r="D39" s="49" t="str">
        <x:v>Yes</x:v>
      </x:c>
      <x:c r="E39" s="49" t="str">
        <x:v>Player</x:v>
      </x:c>
      <x:c r="F39" s="49" t="str">
        <x:v>fk players; index</x:v>
      </x:c>
      <x:c r="G39" s="49" t="str">
        <x:v>Phase 3 có thể thêm account_type</x:v>
      </x:c>
    </x:row>
    <x:row r="40">
      <x:c r="A40" s="49" t="str">
        <x:v>ledger_lines</x:v>
      </x:c>
      <x:c r="B40" s="49" t="str">
        <x:v>amount</x:v>
      </x:c>
      <x:c r="C40" s="49" t="str">
        <x:v>integer</x:v>
      </x:c>
      <x:c r="D40" s="49" t="str">
        <x:v>Yes</x:v>
      </x:c>
      <x:c r="E40" s="49" t="str">
        <x:v>Số tiền</x:v>
      </x:c>
      <x:c r="F40" s="49" t="str"/>
      <x:c r="G40" s="49" t="str">
        <x:v>Source of truth</x:v>
      </x:c>
    </x:row>
    <x:row r="41">
      <x:c r="A41" s="49" t="str">
        <x:v>ledger_lines</x:v>
      </x:c>
      <x:c r="B41" s="49" t="str">
        <x:v>metadata</x:v>
      </x:c>
      <x:c r="C41" s="49" t="str">
        <x:v>jsonb</x:v>
      </x:c>
      <x:c r="D41" s="49" t="str">
        <x:v>No</x:v>
      </x:c>
      <x:c r="E41" s="49" t="str">
        <x:v>Thông tin phụ</x:v>
      </x:c>
      <x:c r="F41" s="49" t="str"/>
      <x:c r="G41" s="49" t="str"/>
    </x:row>
    <x:row r="42">
      <x:c r="A42" s="49" t="str">
        <x:v>v_player_balances</x:v>
      </x:c>
      <x:c r="B42" s="49" t="str">
        <x:v>player_id, display_name, balance_amount</x:v>
      </x:c>
      <x:c r="C42" s="49" t="str">
        <x:v>view</x:v>
      </x:c>
      <x:c r="D42" s="49" t="str">
        <x:v>Read</x:v>
      </x:c>
      <x:c r="E42" s="49" t="str">
        <x:v>Tổng balance theo player</x:v>
      </x:c>
      <x:c r="F42" s="49" t="str"/>
      <x:c r="G42" s="49" t="str">
        <x:v>SUM ledger_lines.amount</x:v>
      </x:c>
    </x:row>
    <x:row r="43">
      <x:c r="A43" s="49" t="str">
        <x:v>v_match_history</x:v>
      </x:c>
      <x:c r="B43" s="49" t="str">
        <x:v>match_id, game_type, participants_json</x:v>
      </x:c>
      <x:c r="C43" s="49" t="str">
        <x:v>view</x:v>
      </x:c>
      <x:c r="D43" s="49" t="str">
        <x:v>Read</x:v>
      </x:c>
      <x:c r="E43" s="49" t="str">
        <x:v>Danh sách trận kèm participants</x:v>
      </x:c>
      <x:c r="F43" s="49" t="str"/>
      <x:c r="G43" s="49" t="str">
        <x:v>Dùng cho /matches</x:v>
      </x:c>
    </x:row>
    <x:row r="44">
      <x:c r="A44" s="49" t="str">
        <x:v>v_dashboard_summary</x:v>
      </x:c>
      <x:c r="B44" s="49" t="str">
        <x:v>metrics</x:v>
      </x:c>
      <x:c r="C44" s="49" t="str">
        <x:v>view</x:v>
      </x:c>
      <x:c r="D44" s="49" t="str">
        <x:v>Read</x:v>
      </x:c>
      <x:c r="E44" s="49" t="str">
        <x:v>Tổng quan dashboard</x:v>
      </x:c>
      <x:c r="F44" s="49" t="str"/>
      <x:c r="G44" s="49" t="str"/>
    </x:row>
    <x:row r="45">
      <x:c r="A45" s="49" t="str">
        <x:v>v_player_stats</x:v>
      </x:c>
      <x:c r="B45" s="49" t="str">
        <x:v>stats</x:v>
      </x:c>
      <x:c r="C45" s="49" t="str">
        <x:v>view</x:v>
      </x:c>
      <x:c r="D45" s="49" t="str">
        <x:v>Read</x:v>
      </x:c>
      <x:c r="E45" s="49" t="str">
        <x:v>Số trận, thắng/thua, net</x:v>
      </x:c>
      <x:c r="F45" s="49" t="str"/>
      <x:c r="G45" s="49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6ac3eabecb24a8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8" hidden="0" customWidth="1"/>
    <x:col min="4" max="4" width="54" hidden="0" customWidth="1"/>
    <x:col min="5" max="5" width="36" hidden="0" customWidth="1"/>
    <x:col min="6" max="6" width="22" hidden="0" customWidth="1"/>
    <x:col min="7" max="7" width="42" hidden="0" customWidth="1"/>
  </x:cols>
  <x:sheetData>
    <x:row r="1" ht="30" customHeight="1">
      <x:c r="A1" s="102" t="str">
        <x:v>RPC &amp; Security</x:v>
      </x:c>
      <x:c r="B1" s="102"/>
      <x:c r="C1" s="102"/>
      <x:c r="D1" s="102"/>
      <x:c r="E1" s="102"/>
      <x:c r="F1" s="102"/>
      <x:c r="G1" s="102"/>
      <x:c r="H1" s="102"/>
      <x:c r="I1" s="49"/>
      <x:c r="J1" s="49"/>
      <x:c r="K1" s="49"/>
    </x:row>
    <x:row r="2" ht="36" customHeight="1">
      <x:c r="A2" s="13" t="str">
        <x:v>Không dùng Supabase Auth email/password; write action đi qua RPC để validate session và transaction.</x:v>
      </x:c>
      <x:c r="B2" s="13"/>
      <x:c r="C2" s="13"/>
      <x:c r="D2" s="13"/>
      <x:c r="E2" s="13"/>
      <x:c r="F2" s="13"/>
      <x:c r="G2" s="13"/>
      <x:c r="H2" s="13"/>
    </x:row>
    <x:row r="4">
      <x:c r="A4" s="48" t="str">
        <x:v>RPC</x:v>
      </x:c>
      <x:c r="B4" s="48" t="str">
        <x:v>Mục đích</x:v>
      </x:c>
      <x:c r="C4" s="48" t="str">
        <x:v>Input chính</x:v>
      </x:c>
      <x:c r="D4" s="48" t="str">
        <x:v>Validation</x:v>
      </x:c>
      <x:c r="E4" s="48" t="str">
        <x:v>Ghi dữ liệu</x:v>
      </x:c>
      <x:c r="F4" s="48" t="str">
        <x:v>Output</x:v>
      </x:c>
      <x:c r="G4" s="48" t="str">
        <x:v>Security note</x:v>
      </x:c>
    </x:row>
    <x:row r="5">
      <x:c r="A5" s="49" t="str">
        <x:v>check_admin_key</x:v>
      </x:c>
      <x:c r="B5" s="49" t="str">
        <x:v>Login admin key</x:v>
      </x:c>
      <x:c r="C5" s="49" t="str">
        <x:v>input_key text</x:v>
      </x:c>
      <x:c r="D5" s="49" t="str">
        <x:v>So sánh hash; rate limit nếu có thể</x:v>
      </x:c>
      <x:c r="E5" s="49" t="str">
        <x:v>app_sessions</x:v>
      </x:c>
      <x:c r="F5" s="49" t="str">
        <x:v>session_token, expires_at</x:v>
      </x:c>
      <x:c r="G5" s="49" t="str">
        <x:v>Không trả config/raw key về FE</x:v>
      </x:c>
    </x:row>
    <x:row r="6">
      <x:c r="A6" s="49" t="str">
        <x:v>verify_app_session</x:v>
      </x:c>
      <x:c r="B6" s="49" t="str">
        <x:v>Helper nội bộ</x:v>
      </x:c>
      <x:c r="C6" s="49" t="str">
        <x:v>session_token text</x:v>
      </x:c>
      <x:c r="D6" s="49" t="str">
        <x:v>Hash token, còn hạn, role ADMIN</x:v>
      </x:c>
      <x:c r="E6" s="49" t="str">
        <x:v>None</x:v>
      </x:c>
      <x:c r="F6" s="49" t="str">
        <x:v>session_id/role hoặc error</x:v>
      </x:c>
      <x:c r="G6" s="49" t="str">
        <x:v>Dùng trong mọi RPC write</x:v>
      </x:c>
    </x:row>
    <x:row r="7">
      <x:c r="A7" s="49" t="str">
        <x:v>create_match</x:v>
      </x:c>
      <x:c r="B7" s="49" t="str">
        <x:v>Tạo trận TFT/Billiard</x:v>
      </x:c>
      <x:c r="C7" s="49" t="str">
        <x:v>payload jsonb, session_token text</x:v>
      </x:c>
      <x:c r="D7" s="49" t="str">
        <x:v>Admin; game hợp lệ; participants không trùng; sum net=0; TFT count 3/4; placement không trùng</x:v>
      </x:c>
      <x:c r="E7" s="49" t="str">
        <x:v>matches, match_participants, ledger_events, ledger_lines</x:v>
      </x:c>
      <x:c r="F7" s="49" t="str">
        <x:v>match_id</x:v>
      </x:c>
      <x:c r="G7" s="49" t="str">
        <x:v>Transaction bắt buộc</x:v>
      </x:c>
    </x:row>
    <x:row r="8">
      <x:c r="A8" s="49" t="str">
        <x:v>void_match</x:v>
      </x:c>
      <x:c r="B8" s="49" t="str">
        <x:v>Void trận</x:v>
      </x:c>
      <x:c r="C8" s="49" t="str">
        <x:v>match_id, reason, session_token</x:v>
      </x:c>
      <x:c r="D8" s="49" t="str">
        <x:v>Admin; match ACTIVE; reason bắt buộc</x:v>
      </x:c>
      <x:c r="E8" s="49" t="str">
        <x:v>matches, ledger_events, ledger_lines reversal</x:v>
      </x:c>
      <x:c r="F8" s="49" t="str">
        <x:v>void_event_id</x:v>
      </x:c>
      <x:c r="G8" s="49" t="str">
        <x:v>Không xóa dữ liệu cũ</x:v>
      </x:c>
    </x:row>
    <x:row r="9">
      <x:c r="A9" s="49" t="str">
        <x:v>create_settlement</x:v>
      </x:c>
      <x:c r="B9" s="49" t="str">
        <x:v>Phase 2: trả tiền ngoài đời</x:v>
      </x:c>
      <x:c r="C9" s="49" t="str">
        <x:v>payer, receiver, amount, note, session_token</x:v>
      </x:c>
      <x:c r="D9" s="49" t="str">
        <x:v>Admin; amount &gt;0; payer != receiver</x:v>
      </x:c>
      <x:c r="E9" s="49" t="str">
        <x:v>ledger_events, ledger_lines</x:v>
      </x:c>
      <x:c r="F9" s="49" t="str">
        <x:v>event_id</x:v>
      </x:c>
      <x:c r="G9" s="49" t="str">
        <x:v>Có thể làm sau</x:v>
      </x:c>
    </x:row>
    <x:row r="13">
      <x:c r="A13" s="62" t="str">
        <x:v>Nguyên tắc</x:v>
      </x:c>
      <x:c r="B13" s="62" t="str">
        <x:v>Cách làm</x:v>
      </x:c>
    </x:row>
    <x:row r="14">
      <x:c r="A14" s="49" t="str">
        <x:v>Không đọc raw admin key</x:v>
      </x:c>
      <x:c r="B14" s="49" t="str">
        <x:v>Bảng configuration chỉ chứa hash; FE không select trực tiếp cấu hình nhạy cảm.</x:v>
      </x:c>
    </x:row>
    <x:row r="15">
      <x:c r="A15" s="49" t="str">
        <x:v>Không ghi trực tiếp bảng tiền</x:v>
      </x:c>
      <x:c r="B15" s="49" t="str">
        <x:v>Deny insert/update/delete từ client với matches/ledger; chỉ expose RPC.</x:v>
      </x:c>
    </x:row>
    <x:row r="16">
      <x:c r="A16" s="49" t="str">
        <x:v>Validate tổng tiền</x:v>
      </x:c>
      <x:c r="B16" s="49" t="str">
        <x:v>FE validate để UX tốt; RPC validate lại sum(net_amount)=0.</x:v>
      </x:c>
    </x:row>
    <x:row r="17">
      <x:c r="A17" s="49" t="str">
        <x:v>Audit</x:v>
      </x:c>
      <x:c r="B17" s="49" t="str">
        <x:v>Không hard delete; void tạo reversal ledger.</x:v>
      </x:c>
    </x:row>
    <x:row r="18">
      <x:c r="A18" s="49" t="str">
        <x:v>Session expiry</x:v>
      </x:c>
      <x:c r="B18" s="49" t="str">
        <x:v>app_sessions có expires_at; FE tự logout khi RPC báo hết hạn.</x:v>
      </x:c>
    </x:row>
  </x:sheetData>
  <x:mergeCells>
    <x:mergeCell ref="A1:H1"/>
    <x:mergeCell ref="A2:H2"/>
  </x:mergeCells>
  <x:pageMargins left="0.7" right="0.7" top="0.75" bottom="0.75" header="0.3" footer="0.3"/>
  <x:tableParts count="2">
    <x:tablePart xmlns:r="http://schemas.openxmlformats.org/officeDocument/2006/relationships" r:id="Re250641de50746e0"/>
    <x:tablePart xmlns:r="http://schemas.openxmlformats.org/officeDocument/2006/relationships" r:id="R41b9e16a2b054e7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38" hidden="0" customWidth="1"/>
    <x:col min="4" max="4" width="52" hidden="0" customWidth="1"/>
    <x:col min="5" max="5" width="36" hidden="0" customWidth="1"/>
    <x:col min="6" max="6" width="18" hidden="0" customWidth="1"/>
    <x:col min="7" max="7" width="12" hidden="0" customWidth="1"/>
  </x:cols>
  <x:sheetData>
    <x:row r="1" ht="30" customHeight="1">
      <x:c r="A1" s="102" t="str">
        <x:v>UI routes &amp; feature modules</x:v>
      </x:c>
      <x:c r="B1" s="102"/>
      <x:c r="C1" s="102"/>
      <x:c r="D1" s="102"/>
      <x:c r="E1" s="102"/>
      <x:c r="F1" s="102"/>
      <x:c r="G1" s="102"/>
      <x:c r="H1" s="102"/>
      <x:c r="I1" s="49"/>
      <x:c r="J1" s="49"/>
      <x:c r="K1" s="49"/>
    </x:row>
    <x:row r="2" ht="36" customHeight="1">
      <x:c r="A2" s="13" t="str">
        <x:v>Route tree tối giản cho bản mới.</x:v>
      </x:c>
      <x:c r="B2" s="13"/>
      <x:c r="C2" s="13"/>
      <x:c r="D2" s="13"/>
      <x:c r="E2" s="13"/>
      <x:c r="F2" s="13"/>
      <x:c r="G2" s="13"/>
      <x:c r="H2" s="13"/>
    </x:row>
    <x:row r="4">
      <x:c r="A4" s="48" t="str">
        <x:v>Route</x:v>
      </x:c>
      <x:c r="B4" s="48" t="str">
        <x:v>Page</x:v>
      </x:c>
      <x:c r="C4" s="48" t="str">
        <x:v>Mục đích</x:v>
      </x:c>
      <x:c r="D4" s="48" t="str">
        <x:v>Components chính</x:v>
      </x:c>
      <x:c r="E4" s="48" t="str">
        <x:v>Data source</x:v>
      </x:c>
      <x:c r="F4" s="48" t="str">
        <x:v>Quyền</x:v>
      </x:c>
      <x:c r="G4" s="48" t="str">
        <x:v>Phase</x:v>
      </x:c>
    </x:row>
    <x:row r="5">
      <x:c r="A5" s="49" t="str">
        <x:v>/login</x:v>
      </x:c>
      <x:c r="B5" s="49" t="str">
        <x:v>LoginPage</x:v>
      </x:c>
      <x:c r="C5" s="49" t="str">
        <x:v>Nhập admin key</x:v>
      </x:c>
      <x:c r="D5" s="49" t="str">
        <x:v>AdminKeyForm</x:v>
      </x:c>
      <x:c r="E5" s="49" t="str">
        <x:v>RPC check_admin_key</x:v>
      </x:c>
      <x:c r="F5" s="49" t="str">
        <x:v>Public</x:v>
      </x:c>
      <x:c r="G5" s="49" t="str">
        <x:v>Phase 1</x:v>
      </x:c>
    </x:row>
    <x:row r="6">
      <x:c r="A6" s="49" t="str">
        <x:v>/dashboard</x:v>
      </x:c>
      <x:c r="B6" s="49" t="str">
        <x:v>DashboardPage</x:v>
      </x:c>
      <x:c r="C6" s="49" t="str">
        <x:v>Tổng quan balance/stats</x:v>
      </x:c>
      <x:c r="D6" s="49" t="str">
        <x:v>BalanceCards, PlayerStatsTable</x:v>
      </x:c>
      <x:c r="E6" s="49" t="str">
        <x:v>Views</x:v>
      </x:c>
      <x:c r="F6" s="49" t="str">
        <x:v>Read</x:v>
      </x:c>
      <x:c r="G6" s="49" t="str">
        <x:v>Phase 1</x:v>
      </x:c>
    </x:row>
    <x:row r="7">
      <x:c r="A7" s="49" t="str">
        <x:v>/matches</x:v>
      </x:c>
      <x:c r="B7" s="49" t="str">
        <x:v>MatchHistoryPage</x:v>
      </x:c>
      <x:c r="C7" s="49" t="str">
        <x:v>Lịch sử trận</x:v>
      </x:c>
      <x:c r="D7" s="49" t="str">
        <x:v>MatchFilters, MatchList</x:v>
      </x:c>
      <x:c r="E7" s="49" t="str">
        <x:v>v_match_history</x:v>
      </x:c>
      <x:c r="F7" s="49" t="str">
        <x:v>Read</x:v>
      </x:c>
      <x:c r="G7" s="49" t="str">
        <x:v>Phase 1</x:v>
      </x:c>
    </x:row>
    <x:row r="8">
      <x:c r="A8" s="49" t="str">
        <x:v>/matches/new</x:v>
      </x:c>
      <x:c r="B8" s="49" t="str">
        <x:v>MatchCreatePage</x:v>
      </x:c>
      <x:c r="C8" s="49" t="str">
        <x:v>Tạo TFT/Billiard</x:v>
      </x:c>
      <x:c r="D8" s="49" t="str">
        <x:v>GameTypeSelector, TftMatchForm, BilliardMatchForm, MatchPreview</x:v>
      </x:c>
      <x:c r="E8" s="49" t="str">
        <x:v>RPC create_match</x:v>
      </x:c>
      <x:c r="F8" s="49" t="str">
        <x:v>Admin</x:v>
      </x:c>
      <x:c r="G8" s="49" t="str">
        <x:v>Phase 1</x:v>
      </x:c>
    </x:row>
    <x:row r="9">
      <x:c r="A9" s="49" t="str">
        <x:v>/matches/:id</x:v>
      </x:c>
      <x:c r="B9" s="49" t="str">
        <x:v>MatchDetailPage</x:v>
      </x:c>
      <x:c r="C9" s="49" t="str">
        <x:v>Chi tiết trận và void</x:v>
      </x:c>
      <x:c r="D9" s="49" t="str">
        <x:v>ParticipantTable, MetadataPanel, VoidDialog</x:v>
      </x:c>
      <x:c r="E9" s="49" t="str">
        <x:v>matches + participants; RPC void_match</x:v>
      </x:c>
      <x:c r="F9" s="49" t="str">
        <x:v>Read/Admin void</x:v>
      </x:c>
      <x:c r="G9" s="49" t="str">
        <x:v>Phase 1</x:v>
      </x:c>
    </x:row>
    <x:row r="10">
      <x:c r="A10" s="49" t="str">
        <x:v>/players</x:v>
      </x:c>
      <x:c r="B10" s="49" t="str">
        <x:v>PlayersPage</x:v>
      </x:c>
      <x:c r="C10" s="49" t="str">
        <x:v>Quản lý người chơi</x:v>
      </x:c>
      <x:c r="D10" s="49" t="str">
        <x:v>PlayerTable, PlayerForm</x:v>
      </x:c>
      <x:c r="E10" s="49" t="str">
        <x:v>players table/RPC optional</x:v>
      </x:c>
      <x:c r="F10" s="49" t="str">
        <x:v>Admin write</x:v>
      </x:c>
      <x:c r="G10" s="49" t="str">
        <x:v>Phase 1</x:v>
      </x:c>
    </x:row>
    <x:row r="11">
      <x:c r="A11" s="49" t="str">
        <x:v>/settings</x:v>
      </x:c>
      <x:c r="B11" s="49" t="str">
        <x:v>SettingsPage</x:v>
      </x:c>
      <x:c r="C11" s="49" t="str">
        <x:v>Hiển thị tiền, session</x:v>
      </x:c>
      <x:c r="D11" s="49" t="str">
        <x:v>MoneyDisplayOptions, SessionPanel</x:v>
      </x:c>
      <x:c r="E11" s="49" t="str">
        <x:v>localStorage/RPC</x:v>
      </x:c>
      <x:c r="F11" s="49" t="str">
        <x:v>Read</x:v>
      </x:c>
      <x:c r="G11" s="49" t="str">
        <x:v>Phase 1</x:v>
      </x:c>
    </x:row>
    <x:row r="12">
      <x:c r="A12" s="49" t="str">
        <x:v>/settlements</x:v>
      </x:c>
      <x:c r="B12" s="49" t="str">
        <x:v>SettlementPage</x:v>
      </x:c>
      <x:c r="C12" s="49" t="str">
        <x:v>Ghi nhận trả tiền ngoài đời</x:v>
      </x:c>
      <x:c r="D12" s="49" t="str">
        <x:v>SettlementForm, SettlementHistory</x:v>
      </x:c>
      <x:c r="E12" s="49" t="str">
        <x:v>RPC create_settlement</x:v>
      </x:c>
      <x:c r="F12" s="49" t="str">
        <x:v>Admin</x:v>
      </x:c>
      <x:c r="G12" s="49" t="str">
        <x:v>Phase 2</x:v>
      </x:c>
    </x:row>
    <x:row r="13">
      <x:c r="A13" s="49" t="str">
        <x:v>/fund</x:v>
      </x:c>
      <x:c r="B13" s="49" t="str">
        <x:v>GroupFundPage</x:v>
      </x:c>
      <x:c r="C13" s="49" t="str">
        <x:v>Quỹ nhóm</x:v>
      </x:c>
      <x:c r="D13" s="49" t="str">
        <x:v>FundSummary, FundTransactions</x:v>
      </x:c>
      <x:c r="E13" s="49" t="str">
        <x:v>Future views/RPC</x:v>
      </x:c>
      <x:c r="F13" s="49" t="str">
        <x:v>Admin</x:v>
      </x:c>
      <x:c r="G13" s="49" t="str">
        <x:v>Phase 3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d0b78946e31497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42" hidden="0" customWidth="1"/>
    <x:col min="4" max="4" width="34" hidden="0" customWidth="1"/>
    <x:col min="5" max="5" width="16" hidden="0" customWidth="1"/>
    <x:col min="6" max="6" width="24" hidden="0" customWidth="1"/>
    <x:col min="7" max="7" width="34" hidden="0" customWidth="1"/>
    <x:col min="8" max="8" width="3" hidden="0" customWidth="1"/>
    <x:col min="9" max="9" width="18" hidden="0" customWidth="1"/>
    <x:col min="10" max="10" width="12" hidden="0" customWidth="1"/>
  </x:cols>
  <x:sheetData>
    <x:row r="1" ht="30" customHeight="1">
      <x:c r="A1" s="102" t="str">
        <x:v>Roadmap triển khai</x:v>
      </x:c>
      <x:c r="B1" s="102"/>
      <x:c r="C1" s="102"/>
      <x:c r="D1" s="102"/>
      <x:c r="E1" s="102"/>
      <x:c r="F1" s="102"/>
      <x:c r="G1" s="102"/>
      <x:c r="H1" s="102"/>
      <x:c r="I1" s="49"/>
      <x:c r="J1" s="49"/>
      <x:c r="K1" s="49"/>
    </x:row>
    <x:row r="2" ht="36" customHeight="1">
      <x:c r="A2" s="13" t="str">
        <x:v>Triển khai theo milestone nhỏ để Codex/codegen dễ làm và dễ review.</x:v>
      </x:c>
      <x:c r="B2" s="13"/>
      <x:c r="C2" s="13"/>
      <x:c r="D2" s="13"/>
      <x:c r="E2" s="13"/>
      <x:c r="F2" s="13"/>
      <x:c r="G2" s="13"/>
      <x:c r="H2" s="13"/>
    </x:row>
    <x:row r="4">
      <x:c r="A4" s="48" t="str">
        <x:v>Phase</x:v>
      </x:c>
      <x:c r="B4" s="48" t="str">
        <x:v>Priority</x:v>
      </x:c>
      <x:c r="C4" s="48" t="str">
        <x:v>Task</x:v>
      </x:c>
      <x:c r="D4" s="48" t="str">
        <x:v>Output</x:v>
      </x:c>
      <x:c r="E4" s="48" t="str">
        <x:v>Status</x:v>
      </x:c>
      <x:c r="F4" s="48" t="str">
        <x:v>Dependency</x:v>
      </x:c>
      <x:c r="G4" s="48" t="str">
        <x:v>Ghi chú</x:v>
      </x:c>
      <x:c r="I4" s="56" t="str">
        <x:v>Status</x:v>
      </x:c>
      <x:c r="J4" s="56" t="str">
        <x:v>Count</x:v>
      </x:c>
    </x:row>
    <x:row r="5">
      <x:c r="A5" s="49" t="str">
        <x:v>Phase 1 - Setup</x:v>
      </x:c>
      <x:c r="B5" s="49" t="str">
        <x:v>P0</x:v>
      </x:c>
      <x:c r="C5" s="49" t="str">
        <x:v>Tạo repo/app Vite React TS</x:v>
      </x:c>
      <x:c r="D5" s="49" t="str">
        <x:v>Project chạy local</x:v>
      </x:c>
      <x:c r="E5" s="49" t="str">
        <x:v>Todo</x:v>
      </x:c>
      <x:c r="F5" s="49" t="str">
        <x:v>None</x:v>
      </x:c>
      <x:c r="G5" s="49" t="str"/>
      <x:c r="I5" s="93" t="str">
        <x:v>Todo</x:v>
      </x:c>
      <x:c r="J5" s="93" t="n">
        <x:f>COUNTIF(E5:E18,I5)</x:f>
        <x:v>12</x:v>
      </x:c>
    </x:row>
    <x:row r="6">
      <x:c r="A6" s="49" t="str">
        <x:v>Phase 1 - Setup</x:v>
      </x:c>
      <x:c r="B6" s="49" t="str">
        <x:v>P0</x:v>
      </x:c>
      <x:c r="C6" s="49" t="str">
        <x:v>Cài Tailwind + shadcn/ui hoặc Mantine</x:v>
      </x:c>
      <x:c r="D6" s="49" t="str">
        <x:v>UI kit sẵn sàng</x:v>
      </x:c>
      <x:c r="E6" s="49" t="str">
        <x:v>Todo</x:v>
      </x:c>
      <x:c r="F6" s="49" t="str">
        <x:v>App setup</x:v>
      </x:c>
      <x:c r="G6" s="49" t="str"/>
      <x:c r="I6" s="93" t="str">
        <x:v>In Progress</x:v>
      </x:c>
      <x:c r="J6" s="93" t="n">
        <x:f>COUNTIF(E5:E18,I6)</x:f>
        <x:v>0</x:v>
      </x:c>
    </x:row>
    <x:row r="7">
      <x:c r="A7" s="49" t="str">
        <x:v>Phase 1 - DB</x:v>
      </x:c>
      <x:c r="B7" s="49" t="str">
        <x:v>P0</x:v>
      </x:c>
      <x:c r="C7" s="49" t="str">
        <x:v>Tạo Supabase project + migrations</x:v>
      </x:c>
      <x:c r="D7" s="49" t="str">
        <x:v>Schema core</x:v>
      </x:c>
      <x:c r="E7" s="49" t="str">
        <x:v>Todo</x:v>
      </x:c>
      <x:c r="F7" s="49" t="str">
        <x:v>None</x:v>
      </x:c>
      <x:c r="G7" s="49" t="str"/>
      <x:c r="I7" s="93" t="str">
        <x:v>Done</x:v>
      </x:c>
      <x:c r="J7" s="93" t="n">
        <x:f>COUNTIF(E5:E18,I7)</x:f>
        <x:v>0</x:v>
      </x:c>
    </x:row>
    <x:row r="8">
      <x:c r="A8" s="49" t="str">
        <x:v>Phase 1 - DB</x:v>
      </x:c>
      <x:c r="B8" s="49" t="str">
        <x:v>P0</x:v>
      </x:c>
      <x:c r="C8" s="49" t="str">
        <x:v>Tạo views v_player_balances, v_match_history</x:v>
      </x:c>
      <x:c r="D8" s="49" t="str">
        <x:v>Read models</x:v>
      </x:c>
      <x:c r="E8" s="49" t="str">
        <x:v>Todo</x:v>
      </x:c>
      <x:c r="F8" s="49" t="str">
        <x:v>Schema core</x:v>
      </x:c>
      <x:c r="G8" s="49" t="str"/>
      <x:c r="I8" s="93" t="str">
        <x:v>Backlog</x:v>
      </x:c>
      <x:c r="J8" s="93" t="n">
        <x:f>COUNTIF(E5:E18,I8)</x:f>
        <x:v>2</x:v>
      </x:c>
    </x:row>
    <x:row r="9">
      <x:c r="A9" s="49" t="str">
        <x:v>Phase 1 - Auth</x:v>
      </x:c>
      <x:c r="B9" s="49" t="str">
        <x:v>P0</x:v>
      </x:c>
      <x:c r="C9" s="49" t="str">
        <x:v>RPC check_admin_key + app_sessions</x:v>
      </x:c>
      <x:c r="D9" s="49" t="str">
        <x:v>Admin login</x:v>
      </x:c>
      <x:c r="E9" s="49" t="str">
        <x:v>Todo</x:v>
      </x:c>
      <x:c r="F9" s="49" t="str">
        <x:v>Schema core</x:v>
      </x:c>
      <x:c r="G9" s="49" t="str"/>
    </x:row>
    <x:row r="10">
      <x:c r="A10" s="49" t="str">
        <x:v>Phase 1 - Players</x:v>
      </x:c>
      <x:c r="B10" s="49" t="str">
        <x:v>P0</x:v>
      </x:c>
      <x:c r="C10" s="49" t="str">
        <x:v>Players CRUD</x:v>
      </x:c>
      <x:c r="D10" s="49" t="str">
        <x:v>Quản lý người chơi</x:v>
      </x:c>
      <x:c r="E10" s="49" t="str">
        <x:v>Todo</x:v>
      </x:c>
      <x:c r="F10" s="49" t="str">
        <x:v>Auth</x:v>
      </x:c>
      <x:c r="G10" s="49" t="str"/>
    </x:row>
    <x:row r="11">
      <x:c r="A11" s="49" t="str">
        <x:v>Phase 1 - Calculator</x:v>
      </x:c>
      <x:c r="B11" s="49" t="str">
        <x:v>P0</x:v>
      </x:c>
      <x:c r="C11" s="49" t="str">
        <x:v>Implement tftCalculator + tests</x:v>
      </x:c>
      <x:c r="D11" s="49" t="str">
        <x:v>Preview TFT đúng</x:v>
      </x:c>
      <x:c r="E11" s="49" t="str">
        <x:v>Todo</x:v>
      </x:c>
      <x:c r="F11" s="49" t="str">
        <x:v>None</x:v>
      </x:c>
      <x:c r="G11" s="49" t="str">
        <x:v>Bắt buộc unit test</x:v>
      </x:c>
    </x:row>
    <x:row r="12">
      <x:c r="A12" s="49" t="str">
        <x:v>Phase 1 - Calculator</x:v>
      </x:c>
      <x:c r="B12" s="49" t="str">
        <x:v>P0</x:v>
      </x:c>
      <x:c r="C12" s="49" t="str">
        <x:v>Implement billiard manual validator</x:v>
      </x:c>
      <x:c r="D12" s="49" t="str">
        <x:v>Preview Billiard đúng</x:v>
      </x:c>
      <x:c r="E12" s="49" t="str">
        <x:v>Todo</x:v>
      </x:c>
      <x:c r="F12" s="49" t="str">
        <x:v>None</x:v>
      </x:c>
      <x:c r="G12" s="49" t="str">
        <x:v>sum net = 0</x:v>
      </x:c>
    </x:row>
    <x:row r="13">
      <x:c r="A13" s="49" t="str">
        <x:v>Phase 1 - Matches</x:v>
      </x:c>
      <x:c r="B13" s="49" t="str">
        <x:v>P0</x:v>
      </x:c>
      <x:c r="C13" s="49" t="str">
        <x:v>RPC create_match</x:v>
      </x:c>
      <x:c r="D13" s="49" t="str">
        <x:v>Ghi match + ledger transaction</x:v>
      </x:c>
      <x:c r="E13" s="49" t="str">
        <x:v>Todo</x:v>
      </x:c>
      <x:c r="F13" s="49" t="str">
        <x:v>Auth + schema</x:v>
      </x:c>
      <x:c r="G13" s="49" t="str"/>
    </x:row>
    <x:row r="14">
      <x:c r="A14" s="49" t="str">
        <x:v>Phase 1 - UI</x:v>
      </x:c>
      <x:c r="B14" s="49" t="str">
        <x:v>P0</x:v>
      </x:c>
      <x:c r="C14" s="49" t="str">
        <x:v>MatchCreatePage TFT/Billiard</x:v>
      </x:c>
      <x:c r="D14" s="49" t="str">
        <x:v>Tạo trận end-to-end</x:v>
      </x:c>
      <x:c r="E14" s="49" t="str">
        <x:v>Todo</x:v>
      </x:c>
      <x:c r="F14" s="49" t="str">
        <x:v>Calculator + RPC</x:v>
      </x:c>
      <x:c r="G14" s="49" t="str"/>
    </x:row>
    <x:row r="15">
      <x:c r="A15" s="49" t="str">
        <x:v>Phase 1 - UI</x:v>
      </x:c>
      <x:c r="B15" s="49" t="str">
        <x:v>P1</x:v>
      </x:c>
      <x:c r="C15" s="49" t="str">
        <x:v>History/detail/dashboard</x:v>
      </x:c>
      <x:c r="D15" s="49" t="str">
        <x:v>Màn đọc dữ liệu</x:v>
      </x:c>
      <x:c r="E15" s="49" t="str">
        <x:v>Todo</x:v>
      </x:c>
      <x:c r="F15" s="49" t="str">
        <x:v>Views</x:v>
      </x:c>
      <x:c r="G15" s="49" t="str"/>
    </x:row>
    <x:row r="16">
      <x:c r="A16" s="49" t="str">
        <x:v>Phase 1 - Audit</x:v>
      </x:c>
      <x:c r="B16" s="49" t="str">
        <x:v>P1</x:v>
      </x:c>
      <x:c r="C16" s="49" t="str">
        <x:v>RPC void_match + UI</x:v>
      </x:c>
      <x:c r="D16" s="49" t="str">
        <x:v>Void có reversal ledger</x:v>
      </x:c>
      <x:c r="E16" s="49" t="str">
        <x:v>Todo</x:v>
      </x:c>
      <x:c r="F16" s="49" t="str">
        <x:v>create_match</x:v>
      </x:c>
      <x:c r="G16" s="49" t="str"/>
    </x:row>
    <x:row r="17">
      <x:c r="A17" s="49" t="str">
        <x:v>Phase 2</x:v>
      </x:c>
      <x:c r="B17" s="49" t="str">
        <x:v>P2</x:v>
      </x:c>
      <x:c r="C17" s="49" t="str">
        <x:v>Settlement ngoài đời</x:v>
      </x:c>
      <x:c r="D17" s="49" t="str">
        <x:v>Ghi nhận trả tiền</x:v>
      </x:c>
      <x:c r="E17" s="49" t="str">
        <x:v>Backlog</x:v>
      </x:c>
      <x:c r="F17" s="49" t="str">
        <x:v>Ledger core</x:v>
      </x:c>
      <x:c r="G17" s="49" t="str"/>
    </x:row>
    <x:row r="18">
      <x:c r="A18" s="49" t="str">
        <x:v>Phase 3</x:v>
      </x:c>
      <x:c r="B18" s="49" t="str">
        <x:v>P3</x:v>
      </x:c>
      <x:c r="C18" s="49" t="str">
        <x:v>Group Fund</x:v>
      </x:c>
      <x:c r="D18" s="49" t="str">
        <x:v>Quỹ nhóm</x:v>
      </x:c>
      <x:c r="E18" s="49" t="str">
        <x:v>Backlog</x:v>
      </x:c>
      <x:c r="F18" s="49" t="str">
        <x:v>Ledger extension</x:v>
      </x:c>
      <x:c r="G18" s="49" t="str">
        <x:v>Không làm vội</x:v>
      </x:c>
    </x:row>
  </x:sheetData>
  <x:mergeCells>
    <x:mergeCell ref="A1:H1"/>
    <x:mergeCell ref="A2:H2"/>
  </x:mergeCells>
  <x:conditionalFormatting sqref="E5:E18">
    <x:cfRule type="expression" dxfId="2" priority="1">
      <x:formula>E5="Done"</x:formula>
    </x:cfRule>
    <x:cfRule type="expression" dxfId="3" priority="2">
      <x:formula>E5="In Progress"</x:formula>
    </x:cfRule>
    <x:cfRule type="expression" dxfId="4" priority="3">
      <x:formula>E5="Backlog"</x:formula>
    </x:cfRule>
  </x:conditionalFormatting>
  <x:dataValidations count="2">
    <x:dataValidation type="list" sqref="E5:E18">
      <x:formula1>"Todo,In Progress,Done,Backlog"</x:formula1>
    </x:dataValidation>
    <x:dataValidation type="list" sqref="B5:B18">
      <x:formula1>"P0,P1,P2,P3"</x:formula1>
    </x:dataValidation>
  </x:dataValidations>
  <x:pageMargins left="0.7" right="0.7" top="0.75" bottom="0.75" header="0.3" footer="0.3"/>
  <x:drawing xmlns:r="http://schemas.openxmlformats.org/officeDocument/2006/relationships" r:id="R00b9fc0d6f2a4068"/>
  <x:tableParts count="1">
    <x:tablePart xmlns:r="http://schemas.openxmlformats.org/officeDocument/2006/relationships" r:id="Rb1a3426f25844db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42" hidden="0" customWidth="1"/>
    <x:col min="4" max="4" width="12" hidden="0" customWidth="1"/>
    <x:col min="5" max="5" width="16" hidden="0" customWidth="1"/>
    <x:col min="6" max="6" width="36" hidden="0" customWidth="1"/>
  </x:cols>
  <x:sheetData>
    <x:row r="1" ht="30" customHeight="1">
      <x:c r="A1" s="102" t="str">
        <x:v>Implementation checklist cho Codex</x:v>
      </x:c>
      <x:c r="B1" s="102"/>
      <x:c r="C1" s="102"/>
      <x:c r="D1" s="102"/>
      <x:c r="E1" s="102"/>
      <x:c r="F1" s="102"/>
      <x:c r="G1" s="102"/>
      <x:c r="H1" s="102"/>
      <x:c r="I1" s="49"/>
      <x:c r="J1" s="49"/>
      <x:c r="K1" s="49"/>
    </x:row>
    <x:row r="2" ht="36" customHeight="1">
      <x:c r="A2" s="13" t="str">
        <x:v>Checklist chi tiết để chuyển thành prompt/task coding.</x:v>
      </x:c>
      <x:c r="B2" s="13"/>
      <x:c r="C2" s="13"/>
      <x:c r="D2" s="13"/>
      <x:c r="E2" s="13"/>
      <x:c r="F2" s="13"/>
      <x:c r="G2" s="13"/>
      <x:c r="H2" s="13"/>
    </x:row>
    <x:row r="4">
      <x:c r="A4" s="48" t="str">
        <x:v>Nhóm</x:v>
      </x:c>
      <x:c r="B4" s="48" t="str">
        <x:v>Checklist item</x:v>
      </x:c>
      <x:c r="C4" s="48" t="str">
        <x:v>Tiêu chí hoàn thành</x:v>
      </x:c>
      <x:c r="D4" s="48" t="str">
        <x:v>Priority</x:v>
      </x:c>
      <x:c r="E4" s="48" t="str">
        <x:v>Status</x:v>
      </x:c>
      <x:c r="F4" s="48" t="str">
        <x:v>Ghi chú</x:v>
      </x:c>
    </x:row>
    <x:row r="5">
      <x:c r="A5" s="49" t="str">
        <x:v>Project</x:v>
      </x:c>
      <x:c r="B5" s="49" t="str">
        <x:v>Initialize Vite React TS</x:v>
      </x:c>
      <x:c r="C5" s="49" t="str">
        <x:v>pnpm dev chạy được</x:v>
      </x:c>
      <x:c r="D5" s="49" t="str">
        <x:v>P0</x:v>
      </x:c>
      <x:c r="E5" s="49" t="str">
        <x:v>Todo</x:v>
      </x:c>
      <x:c r="F5" s="49" t="str"/>
    </x:row>
    <x:row r="6">
      <x:c r="A6" s="49" t="str">
        <x:v>Project</x:v>
      </x:c>
      <x:c r="B6" s="49" t="str">
        <x:v>Setup path alias</x:v>
      </x:c>
      <x:c r="C6" s="49" t="str">
        <x:v>import @/... hoạt động</x:v>
      </x:c>
      <x:c r="D6" s="49" t="str">
        <x:v>P1</x:v>
      </x:c>
      <x:c r="E6" s="49" t="str">
        <x:v>Todo</x:v>
      </x:c>
      <x:c r="F6" s="49" t="str"/>
    </x:row>
    <x:row r="7">
      <x:c r="A7" s="49" t="str">
        <x:v>UI</x:v>
      </x:c>
      <x:c r="B7" s="49" t="str">
        <x:v>Install UI kit</x:v>
      </x:c>
      <x:c r="C7" s="49" t="str">
        <x:v>Button/Card/Dialog/Form hoạt động</x:v>
      </x:c>
      <x:c r="D7" s="49" t="str">
        <x:v>P0</x:v>
      </x:c>
      <x:c r="E7" s="49" t="str">
        <x:v>Todo</x:v>
      </x:c>
      <x:c r="F7" s="49" t="str"/>
    </x:row>
    <x:row r="8">
      <x:c r="A8" s="49" t="str">
        <x:v>Supabase</x:v>
      </x:c>
      <x:c r="B8" s="49" t="str">
        <x:v>Create client wrapper</x:v>
      </x:c>
      <x:c r="C8" s="49" t="str">
        <x:v>supabase.ts có env validation</x:v>
      </x:c>
      <x:c r="D8" s="49" t="str">
        <x:v>P0</x:v>
      </x:c>
      <x:c r="E8" s="49" t="str">
        <x:v>Todo</x:v>
      </x:c>
      <x:c r="F8" s="49" t="str"/>
    </x:row>
    <x:row r="9">
      <x:c r="A9" s="49" t="str">
        <x:v>Supabase</x:v>
      </x:c>
      <x:c r="B9" s="49" t="str">
        <x:v>SQL migration core tables</x:v>
      </x:c>
      <x:c r="C9" s="49" t="str">
        <x:v>Tạo 7 bảng core</x:v>
      </x:c>
      <x:c r="D9" s="49" t="str">
        <x:v>P0</x:v>
      </x:c>
      <x:c r="E9" s="49" t="str">
        <x:v>Todo</x:v>
      </x:c>
      <x:c r="F9" s="49" t="str"/>
    </x:row>
    <x:row r="10">
      <x:c r="A10" s="49" t="str">
        <x:v>Supabase</x:v>
      </x:c>
      <x:c r="B10" s="49" t="str">
        <x:v>SQL migration views</x:v>
      </x:c>
      <x:c r="C10" s="49" t="str">
        <x:v>Có views balances/history/dashboard</x:v>
      </x:c>
      <x:c r="D10" s="49" t="str">
        <x:v>P0</x:v>
      </x:c>
      <x:c r="E10" s="49" t="str">
        <x:v>Todo</x:v>
      </x:c>
      <x:c r="F10" s="49" t="str"/>
    </x:row>
    <x:row r="11">
      <x:c r="A11" s="49" t="str">
        <x:v>Auth</x:v>
      </x:c>
      <x:c r="B11" s="49" t="str">
        <x:v>RPC check_admin_key</x:v>
      </x:c>
      <x:c r="C11" s="49" t="str">
        <x:v>Trả session_token nếu đúng</x:v>
      </x:c>
      <x:c r="D11" s="49" t="str">
        <x:v>P0</x:v>
      </x:c>
      <x:c r="E11" s="49" t="str">
        <x:v>Todo</x:v>
      </x:c>
      <x:c r="F11" s="49" t="str"/>
    </x:row>
    <x:row r="12">
      <x:c r="A12" s="49" t="str">
        <x:v>Auth</x:v>
      </x:c>
      <x:c r="B12" s="49" t="str">
        <x:v>Local session manager</x:v>
      </x:c>
      <x:c r="C12" s="49" t="str">
        <x:v>Lưu/xóa/check expiry</x:v>
      </x:c>
      <x:c r="D12" s="49" t="str">
        <x:v>P0</x:v>
      </x:c>
      <x:c r="E12" s="49" t="str">
        <x:v>Todo</x:v>
      </x:c>
      <x:c r="F12" s="49" t="str"/>
    </x:row>
    <x:row r="13">
      <x:c r="A13" s="49" t="str">
        <x:v>Players</x:v>
      </x:c>
      <x:c r="B13" s="49" t="str">
        <x:v>Players list</x:v>
      </x:c>
      <x:c r="C13" s="49" t="str">
        <x:v>List active/inactive/search</x:v>
      </x:c>
      <x:c r="D13" s="49" t="str">
        <x:v>P0</x:v>
      </x:c>
      <x:c r="E13" s="49" t="str">
        <x:v>Todo</x:v>
      </x:c>
      <x:c r="F13" s="49" t="str"/>
    </x:row>
    <x:row r="14">
      <x:c r="A14" s="49" t="str">
        <x:v>Players</x:v>
      </x:c>
      <x:c r="B14" s="49" t="str">
        <x:v>Player form</x:v>
      </x:c>
      <x:c r="C14" s="49" t="str">
        <x:v>Create/edit/deactivate</x:v>
      </x:c>
      <x:c r="D14" s="49" t="str">
        <x:v>P0</x:v>
      </x:c>
      <x:c r="E14" s="49" t="str">
        <x:v>Todo</x:v>
      </x:c>
      <x:c r="F14" s="49" t="str"/>
    </x:row>
    <x:row r="15">
      <x:c r="A15" s="49" t="str">
        <x:v>Calculator</x:v>
      </x:c>
      <x:c r="B15" s="49" t="str">
        <x:v>tftCalculator 3P</x:v>
      </x:c>
      <x:c r="C15" s="49" t="str">
        <x:v>Unit tests pass</x:v>
      </x:c>
      <x:c r="D15" s="49" t="str">
        <x:v>P0</x:v>
      </x:c>
      <x:c r="E15" s="49" t="str">
        <x:v>Todo</x:v>
      </x:c>
      <x:c r="F15" s="49" t="str"/>
    </x:row>
    <x:row r="16">
      <x:c r="A16" s="49" t="str">
        <x:v>Calculator</x:v>
      </x:c>
      <x:c r="B16" s="49" t="str">
        <x:v>tftCalculator 4P</x:v>
      </x:c>
      <x:c r="C16" s="49" t="str">
        <x:v>Unit tests pass</x:v>
      </x:c>
      <x:c r="D16" s="49" t="str">
        <x:v>P0</x:v>
      </x:c>
      <x:c r="E16" s="49" t="str">
        <x:v>Todo</x:v>
      </x:c>
      <x:c r="F16" s="49" t="str"/>
    </x:row>
    <x:row r="17">
      <x:c r="A17" s="49" t="str">
        <x:v>Calculator</x:v>
      </x:c>
      <x:c r="B17" s="49" t="str">
        <x:v>billiardValidator</x:v>
      </x:c>
      <x:c r="C17" s="49" t="str">
        <x:v>Reject sum != 0</x:v>
      </x:c>
      <x:c r="D17" s="49" t="str">
        <x:v>P0</x:v>
      </x:c>
      <x:c r="E17" s="49" t="str">
        <x:v>Todo</x:v>
      </x:c>
      <x:c r="F17" s="49" t="str"/>
    </x:row>
    <x:row r="18">
      <x:c r="A18" s="49" t="str">
        <x:v>Matches</x:v>
      </x:c>
      <x:c r="B18" s="49" t="str">
        <x:v>RPC create_match</x:v>
      </x:c>
      <x:c r="C18" s="49" t="str">
        <x:v>Insert transaction đủ 4 nhóm table</x:v>
      </x:c>
      <x:c r="D18" s="49" t="str">
        <x:v>P0</x:v>
      </x:c>
      <x:c r="E18" s="49" t="str">
        <x:v>Todo</x:v>
      </x:c>
      <x:c r="F18" s="49" t="str"/>
    </x:row>
    <x:row r="19">
      <x:c r="A19" s="49" t="str">
        <x:v>Matches</x:v>
      </x:c>
      <x:c r="B19" s="49" t="str">
        <x:v>TFT create form</x:v>
      </x:c>
      <x:c r="C19" s="49" t="str">
        <x:v>Preview + submit OK</x:v>
      </x:c>
      <x:c r="D19" s="49" t="str">
        <x:v>P0</x:v>
      </x:c>
      <x:c r="E19" s="49" t="str">
        <x:v>Todo</x:v>
      </x:c>
      <x:c r="F19" s="49" t="str"/>
    </x:row>
    <x:row r="20">
      <x:c r="A20" s="49" t="str">
        <x:v>Matches</x:v>
      </x:c>
      <x:c r="B20" s="49" t="str">
        <x:v>Billiard create form</x:v>
      </x:c>
      <x:c r="C20" s="49" t="str">
        <x:v>Preview + submit OK</x:v>
      </x:c>
      <x:c r="D20" s="49" t="str">
        <x:v>P0</x:v>
      </x:c>
      <x:c r="E20" s="49" t="str">
        <x:v>Todo</x:v>
      </x:c>
      <x:c r="F20" s="49" t="str"/>
    </x:row>
    <x:row r="21">
      <x:c r="A21" s="49" t="str">
        <x:v>Matches</x:v>
      </x:c>
      <x:c r="B21" s="49" t="str">
        <x:v>History page</x:v>
      </x:c>
      <x:c r="C21" s="49" t="str">
        <x:v>Filter/read view OK</x:v>
      </x:c>
      <x:c r="D21" s="49" t="str">
        <x:v>P1</x:v>
      </x:c>
      <x:c r="E21" s="49" t="str">
        <x:v>Todo</x:v>
      </x:c>
      <x:c r="F21" s="49" t="str"/>
    </x:row>
    <x:row r="22">
      <x:c r="A22" s="49" t="str">
        <x:v>Matches</x:v>
      </x:c>
      <x:c r="B22" s="49" t="str">
        <x:v>Detail page</x:v>
      </x:c>
      <x:c r="C22" s="49" t="str">
        <x:v>Hiển thị metadata/participants</x:v>
      </x:c>
      <x:c r="D22" s="49" t="str">
        <x:v>P1</x:v>
      </x:c>
      <x:c r="E22" s="49" t="str">
        <x:v>Todo</x:v>
      </x:c>
      <x:c r="F22" s="49" t="str"/>
    </x:row>
    <x:row r="23">
      <x:c r="A23" s="49" t="str">
        <x:v>Audit</x:v>
      </x:c>
      <x:c r="B23" s="49" t="str">
        <x:v>RPC void_match</x:v>
      </x:c>
      <x:c r="C23" s="49" t="str">
        <x:v>Reversal ledger đúng</x:v>
      </x:c>
      <x:c r="D23" s="49" t="str">
        <x:v>P1</x:v>
      </x:c>
      <x:c r="E23" s="49" t="str">
        <x:v>Todo</x:v>
      </x:c>
      <x:c r="F23" s="49" t="str"/>
    </x:row>
    <x:row r="24">
      <x:c r="A24" s="49" t="str">
        <x:v>Dashboard</x:v>
      </x:c>
      <x:c r="B24" s="49" t="str">
        <x:v>Balance dashboard</x:v>
      </x:c>
      <x:c r="C24" s="49" t="str">
        <x:v>Tổng net từng player đúng</x:v>
      </x:c>
      <x:c r="D24" s="49" t="str">
        <x:v>P1</x:v>
      </x:c>
      <x:c r="E24" s="49" t="str">
        <x:v>Todo</x:v>
      </x:c>
      <x:c r="F24" s="49" t="str"/>
    </x:row>
  </x:sheetData>
  <x:mergeCells>
    <x:mergeCell ref="A1:H1"/>
    <x:mergeCell ref="A2:H2"/>
  </x:mergeCells>
  <x:conditionalFormatting sqref="E5:E24">
    <x:cfRule type="expression" dxfId="5" priority="1">
      <x:formula>E5="Done"</x:formula>
    </x:cfRule>
    <x:cfRule type="expression" dxfId="6" priority="2">
      <x:formula>E5="Blocked"</x:formula>
    </x:cfRule>
  </x:conditionalFormatting>
  <x:dataValidations count="2">
    <x:dataValidation type="list" sqref="D5:D24">
      <x:formula1>"P0,P1,P2,P3"</x:formula1>
    </x:dataValidation>
    <x:dataValidation type="list" sqref="E5:E24">
      <x:formula1>"Todo,In Progress,Done,Blocked"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e312d58fef4e0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42" hidden="0" customWidth="1"/>
    <x:col min="4" max="4" width="56" hidden="0" customWidth="1"/>
    <x:col min="5" max="5" width="12" hidden="0" customWidth="1"/>
  </x:cols>
  <x:sheetData>
    <x:row r="1" ht="30" customHeight="1">
      <x:c r="A1" s="102" t="str">
        <x:v>Quyết định, rủi ro &amp; cách giảm thiểu</x:v>
      </x:c>
      <x:c r="B1" s="102"/>
      <x:c r="C1" s="102"/>
      <x:c r="D1" s="102"/>
      <x:c r="E1" s="102"/>
      <x:c r="F1" s="102"/>
      <x:c r="G1" s="102"/>
      <x:c r="H1" s="49"/>
      <x:c r="I1" s="49"/>
      <x:c r="J1" s="49"/>
      <x:c r="K1" s="49"/>
    </x:row>
    <x:row r="2" ht="36" customHeight="1">
      <x:c r="A2" s="13" t="str">
        <x:v>Các điểm cần nhớ trước khi bắt Codex triển khai.</x:v>
      </x:c>
      <x:c r="B2" s="13"/>
      <x:c r="C2" s="13"/>
      <x:c r="D2" s="13"/>
      <x:c r="E2" s="13"/>
      <x:c r="F2" s="13"/>
      <x:c r="G2" s="13"/>
    </x:row>
    <x:row r="4">
      <x:c r="A4" s="48" t="str">
        <x:v>Loại</x:v>
      </x:c>
      <x:c r="B4" s="48" t="str">
        <x:v>Nội dung</x:v>
      </x:c>
      <x:c r="C4" s="48" t="str">
        <x:v>Tác động</x:v>
      </x:c>
      <x:c r="D4" s="48" t="str">
        <x:v>Cách giảm thiểu</x:v>
      </x:c>
      <x:c r="E4" s="48" t="str">
        <x:v>Priority</x:v>
      </x:c>
    </x:row>
    <x:row r="5">
      <x:c r="A5" s="49" t="str">
        <x:v>Decision</x:v>
      </x:c>
      <x:c r="B5" s="49" t="str">
        <x:v>Không có backend riêng</x:v>
      </x:c>
      <x:c r="C5" s="49" t="str">
        <x:v>Giảm deploy/cold start, giảm maintenance</x:v>
      </x:c>
      <x:c r="D5" s="49" t="str">
        <x:v>Write qua Supabase RPC để vẫn có transaction</x:v>
      </x:c>
      <x:c r="E5" s="49" t="str">
        <x:v>P0</x:v>
      </x:c>
    </x:row>
    <x:row r="6">
      <x:c r="A6" s="49" t="str">
        <x:v>Decision</x:v>
      </x:c>
      <x:c r="B6" s="49" t="str">
        <x:v>Không quản lý rule</x:v>
      </x:c>
      <x:c r="C6" s="49" t="str">
        <x:v>UI đơn giản hơn rất nhiều</x:v>
      </x:c>
      <x:c r="D6" s="49" t="str">
        <x:v>Hardcode constants + unit tests cho calculator</x:v>
      </x:c>
      <x:c r="E6" s="49" t="str">
        <x:v>P0</x:v>
      </x:c>
    </x:row>
    <x:row r="7">
      <x:c r="A7" s="49" t="str">
        <x:v>Decision</x:v>
      </x:c>
      <x:c r="B7" s="49" t="str">
        <x:v>FE gửi net_amount cuối cùng</x:v>
      </x:c>
      <x:c r="C7" s="49" t="str">
        <x:v>DB không cần rule engine</x:v>
      </x:c>
      <x:c r="D7" s="49" t="str">
        <x:v>RPC validate tổng net=0 và metadata đầy đủ</x:v>
      </x:c>
      <x:c r="E7" s="49" t="str">
        <x:v>P0</x:v>
      </x:c>
    </x:row>
    <x:row r="8">
      <x:c r="A8" s="49" t="str">
        <x:v>Risk</x:v>
      </x:c>
      <x:c r="B8" s="49" t="str">
        <x:v>FE bị sửa request gửi net sai</x:v>
      </x:c>
      <x:c r="C8" s="49" t="str">
        <x:v>Dữ liệu tiền sai nếu không validate</x:v>
      </x:c>
      <x:c r="D8" s="49" t="str">
        <x:v>RPC validate sum=0, duplicate players, placement; unit tests</x:v>
      </x:c>
      <x:c r="E8" s="49" t="str">
        <x:v>P0</x:v>
      </x:c>
    </x:row>
    <x:row r="9">
      <x:c r="A9" s="49" t="str">
        <x:v>Risk</x:v>
      </x:c>
      <x:c r="B9" s="49" t="str">
        <x:v>Admin key lộ nếu FE đọc configuration</x:v>
      </x:c>
      <x:c r="C9" s="49" t="str">
        <x:v>Mất quyền ghi</x:v>
      </x:c>
      <x:c r="D9" s="49" t="str">
        <x:v>Không select raw key; lưu hash; check qua RPC</x:v>
      </x:c>
      <x:c r="E9" s="49" t="str">
        <x:v>P0</x:v>
      </x:c>
    </x:row>
    <x:row r="10">
      <x:c r="A10" s="49" t="str">
        <x:v>Risk</x:v>
      </x:c>
      <x:c r="B10" s="49" t="str">
        <x:v>Void/xóa match làm mất audit</x:v>
      </x:c>
      <x:c r="C10" s="49" t="str">
        <x:v>Không truy vết được</x:v>
      </x:c>
      <x:c r="D10" s="49" t="str">
        <x:v>Không delete; mark VOIDED + reversal ledger</x:v>
      </x:c>
      <x:c r="E10" s="49" t="str">
        <x:v>P0</x:v>
      </x:c>
    </x:row>
    <x:row r="11">
      <x:c r="A11" s="49" t="str">
        <x:v>Risk</x:v>
      </x:c>
      <x:c r="B11" s="49" t="str">
        <x:v>Group Fund mở rộng sau bị vướng model</x:v>
      </x:c>
      <x:c r="C11" s="49" t="str">
        <x:v>Phải refactor ledger</x:v>
      </x:c>
      <x:c r="D11" s="49" t="str">
        <x:v>Thiết kế ledger_events/lines đủ generic; thêm account_type khi cần</x:v>
      </x:c>
      <x:c r="E11" s="49" t="str">
        <x:v>P1</x:v>
      </x:c>
    </x:row>
    <x:row r="12">
      <x:c r="A12" s="49" t="str">
        <x:v>Risk</x:v>
      </x:c>
      <x:c r="B12" s="49" t="str">
        <x:v>Billiard nhập tay sai</x:v>
      </x:c>
      <x:c r="C12" s="49" t="str">
        <x:v>Tổng tiền không cân</x:v>
      </x:c>
      <x:c r="D12" s="49" t="str">
        <x:v>Validate sum=0 ở FE và RPC</x:v>
      </x:c>
      <x:c r="E12" s="49" t="str">
        <x:v>P0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adcc006f6a841db"/>
  </x:tableParts>
</x:worksheet>
</file>